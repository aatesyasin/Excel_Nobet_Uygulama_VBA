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120" windowWidth="14805" windowHeight="8010" activeTab="2"/>
  </bookViews>
  <sheets>
    <sheet name="Program" sheetId="1" r:id="rId1"/>
    <sheet name="Mazeret" sheetId="2" r:id="rId2"/>
    <sheet name="Liste" sheetId="3" r:id="rId3"/>
  </sheets>
  <calcPr calcId="144525"/>
</workbook>
</file>

<file path=xl/calcChain.xml><?xml version="1.0" encoding="utf-8"?>
<calcChain xmlns="http://schemas.openxmlformats.org/spreadsheetml/2006/main">
  <c r="D14" i="3" l="1"/>
  <c r="D15" i="3"/>
  <c r="D16" i="3"/>
  <c r="D17" i="3"/>
  <c r="D13" i="3"/>
  <c r="D12" i="3"/>
  <c r="A218" i="3"/>
  <c r="B1" i="1" s="1"/>
  <c r="B218" i="3"/>
  <c r="A1" i="1" s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6" i="2"/>
  <c r="A15" i="2"/>
  <c r="T4" i="1"/>
  <c r="U4" i="1"/>
  <c r="T5" i="1"/>
  <c r="U5" i="1"/>
  <c r="T6" i="1"/>
  <c r="U6" i="1"/>
  <c r="T7" i="1"/>
  <c r="U7" i="1"/>
  <c r="T8" i="1"/>
  <c r="U8" i="1"/>
  <c r="T9" i="1"/>
  <c r="U9" i="1"/>
  <c r="T10" i="1"/>
  <c r="U10" i="1"/>
  <c r="T11" i="1"/>
  <c r="U11" i="1"/>
  <c r="T12" i="1"/>
  <c r="U12" i="1"/>
  <c r="T13" i="1"/>
  <c r="U13" i="1"/>
  <c r="T14" i="1"/>
  <c r="U14" i="1"/>
  <c r="T15" i="1"/>
  <c r="U15" i="1"/>
  <c r="T16" i="1"/>
  <c r="U16" i="1"/>
  <c r="T17" i="1"/>
  <c r="U17" i="1"/>
  <c r="U3" i="1"/>
  <c r="T3" i="1"/>
  <c r="C18" i="3"/>
  <c r="U18" i="1" s="1"/>
  <c r="B18" i="3"/>
  <c r="T18" i="1" s="1"/>
  <c r="V17" i="1"/>
  <c r="V16" i="1"/>
  <c r="V15" i="1"/>
  <c r="V14" i="1"/>
  <c r="V13" i="1"/>
  <c r="V12" i="1"/>
  <c r="D11" i="3"/>
  <c r="V11" i="1" s="1"/>
  <c r="D10" i="3"/>
  <c r="V10" i="1" s="1"/>
  <c r="D9" i="3"/>
  <c r="V9" i="1" s="1"/>
  <c r="D8" i="3"/>
  <c r="V8" i="1" s="1"/>
  <c r="D7" i="3"/>
  <c r="V7" i="1" s="1"/>
  <c r="D6" i="3"/>
  <c r="V6" i="1" s="1"/>
  <c r="D5" i="3"/>
  <c r="V5" i="1" s="1"/>
  <c r="D4" i="3"/>
  <c r="V4" i="1" s="1"/>
  <c r="D3" i="3"/>
  <c r="V3" i="1" s="1"/>
  <c r="E18" i="1" l="1"/>
  <c r="F18" i="1" s="1"/>
  <c r="E16" i="1"/>
  <c r="F16" i="1" s="1"/>
  <c r="E2" i="1"/>
  <c r="E28" i="1"/>
  <c r="F28" i="1" s="1"/>
  <c r="E26" i="1"/>
  <c r="F26" i="1" s="1"/>
  <c r="E19" i="1"/>
  <c r="F19" i="1" s="1"/>
  <c r="E21" i="1"/>
  <c r="F21" i="1" s="1"/>
  <c r="E24" i="1"/>
  <c r="F24" i="1" s="1"/>
  <c r="E31" i="1"/>
  <c r="F31" i="1" s="1"/>
  <c r="E29" i="1"/>
  <c r="D18" i="3"/>
  <c r="V18" i="1" s="1"/>
  <c r="E14" i="1"/>
  <c r="F14" i="1" s="1"/>
  <c r="E30" i="1"/>
  <c r="E20" i="1"/>
  <c r="F20" i="1" s="1"/>
  <c r="E6" i="1"/>
  <c r="E3" i="1"/>
  <c r="E13" i="1"/>
  <c r="F13" i="1" s="1"/>
  <c r="E9" i="1"/>
  <c r="E4" i="1"/>
  <c r="E11" i="1"/>
  <c r="E17" i="1"/>
  <c r="F17" i="1" s="1"/>
  <c r="E27" i="1"/>
  <c r="F27" i="1" s="1"/>
  <c r="E15" i="1"/>
  <c r="F15" i="1" s="1"/>
  <c r="E32" i="1"/>
  <c r="F32" i="1" s="1"/>
  <c r="E10" i="1"/>
  <c r="E8" i="1"/>
  <c r="E12" i="1"/>
  <c r="F12" i="1" s="1"/>
  <c r="E23" i="1"/>
  <c r="F23" i="1" s="1"/>
  <c r="E7" i="1"/>
  <c r="F7" i="1" s="1"/>
  <c r="E22" i="1"/>
  <c r="F22" i="1" s="1"/>
  <c r="E5" i="1"/>
  <c r="E25" i="1"/>
  <c r="F25" i="1" s="1"/>
  <c r="A18" i="2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3" i="1"/>
  <c r="E5" i="3" l="1"/>
  <c r="W5" i="1" s="1"/>
  <c r="E6" i="3"/>
  <c r="W6" i="1" s="1"/>
  <c r="E9" i="3"/>
  <c r="W9" i="1" s="1"/>
  <c r="E7" i="3"/>
  <c r="W7" i="1" s="1"/>
  <c r="E8" i="3"/>
  <c r="W8" i="1" s="1"/>
  <c r="E10" i="3"/>
  <c r="W10" i="1" s="1"/>
  <c r="E11" i="3"/>
  <c r="W11" i="1" s="1"/>
  <c r="E12" i="3"/>
  <c r="W12" i="1" s="1"/>
  <c r="E14" i="3"/>
  <c r="W14" i="1" s="1"/>
  <c r="E13" i="3"/>
  <c r="W13" i="1" s="1"/>
  <c r="E15" i="3"/>
  <c r="W15" i="1" s="1"/>
  <c r="E16" i="3"/>
  <c r="W16" i="1" s="1"/>
  <c r="E17" i="3"/>
  <c r="W17" i="1" s="1"/>
  <c r="E4" i="3"/>
  <c r="F2" i="1"/>
  <c r="G29" i="1"/>
  <c r="G31" i="1"/>
  <c r="F29" i="1"/>
  <c r="F30" i="1"/>
  <c r="G30" i="1"/>
  <c r="F4" i="1"/>
  <c r="E3" i="3"/>
  <c r="G32" i="1"/>
  <c r="F8" i="1"/>
  <c r="F5" i="1"/>
  <c r="B10" i="1"/>
  <c r="B5" i="1"/>
  <c r="B14" i="1"/>
  <c r="B18" i="1"/>
  <c r="B22" i="1"/>
  <c r="B6" i="1"/>
  <c r="B30" i="1"/>
  <c r="B26" i="1"/>
  <c r="B3" i="1"/>
  <c r="B4" i="1"/>
  <c r="B2" i="1"/>
  <c r="B31" i="1"/>
  <c r="B27" i="1"/>
  <c r="B23" i="1"/>
  <c r="B19" i="1"/>
  <c r="B15" i="1"/>
  <c r="B11" i="1"/>
  <c r="B7" i="1"/>
  <c r="B32" i="1"/>
  <c r="B28" i="1"/>
  <c r="B24" i="1"/>
  <c r="B20" i="1"/>
  <c r="B16" i="1"/>
  <c r="B12" i="1"/>
  <c r="B8" i="1"/>
  <c r="B29" i="1"/>
  <c r="B25" i="1"/>
  <c r="B21" i="1"/>
  <c r="B17" i="1"/>
  <c r="B13" i="1"/>
  <c r="B9" i="1"/>
  <c r="G4" i="1"/>
  <c r="G9" i="1"/>
  <c r="G12" i="1"/>
  <c r="G2" i="1"/>
  <c r="G10" i="1"/>
  <c r="G6" i="1"/>
  <c r="G27" i="1"/>
  <c r="G23" i="1"/>
  <c r="G19" i="1"/>
  <c r="G15" i="1"/>
  <c r="G11" i="1"/>
  <c r="G7" i="1"/>
  <c r="G3" i="1"/>
  <c r="G28" i="1"/>
  <c r="G24" i="1"/>
  <c r="G20" i="1"/>
  <c r="G16" i="1"/>
  <c r="G8" i="1"/>
  <c r="G25" i="1"/>
  <c r="G21" i="1"/>
  <c r="G17" i="1"/>
  <c r="G13" i="1"/>
  <c r="G5" i="1"/>
  <c r="G26" i="1"/>
  <c r="G22" i="1"/>
  <c r="G18" i="1"/>
  <c r="G14" i="1"/>
  <c r="F9" i="1"/>
  <c r="F3" i="1"/>
  <c r="F10" i="1"/>
  <c r="F6" i="1"/>
  <c r="F11" i="1"/>
  <c r="L20" i="3" l="1"/>
  <c r="W25" i="1"/>
  <c r="M8" i="1"/>
  <c r="L8" i="1"/>
  <c r="M3" i="1"/>
  <c r="L3" i="1"/>
  <c r="M16" i="1"/>
  <c r="L16" i="1"/>
  <c r="M30" i="1"/>
  <c r="L30" i="1"/>
  <c r="L9" i="1"/>
  <c r="M9" i="1"/>
  <c r="L28" i="1"/>
  <c r="M28" i="1"/>
  <c r="M18" i="1"/>
  <c r="L18" i="1"/>
  <c r="M13" i="1"/>
  <c r="L13" i="1"/>
  <c r="M23" i="1"/>
  <c r="L23" i="1"/>
  <c r="M17" i="1"/>
  <c r="L17" i="1"/>
  <c r="L27" i="1"/>
  <c r="M27" i="1"/>
  <c r="M24" i="1"/>
  <c r="L24" i="1"/>
  <c r="L22" i="1"/>
  <c r="M22" i="1"/>
  <c r="L32" i="1"/>
  <c r="M32" i="1"/>
  <c r="M14" i="1"/>
  <c r="L14" i="1"/>
  <c r="M21" i="1"/>
  <c r="L21" i="1"/>
  <c r="M31" i="1"/>
  <c r="L31" i="1"/>
  <c r="M25" i="1"/>
  <c r="L25" i="1"/>
  <c r="M2" i="1"/>
  <c r="L2" i="1"/>
  <c r="M29" i="1"/>
  <c r="L29" i="1"/>
  <c r="M4" i="1"/>
  <c r="L4" i="1"/>
  <c r="M7" i="1"/>
  <c r="L7" i="1"/>
  <c r="M5" i="1"/>
  <c r="L5" i="1"/>
  <c r="L12" i="1"/>
  <c r="M12" i="1"/>
  <c r="M26" i="1"/>
  <c r="L26" i="1"/>
  <c r="M20" i="1"/>
  <c r="L20" i="1"/>
  <c r="M6" i="1"/>
  <c r="L6" i="1"/>
  <c r="M11" i="1"/>
  <c r="L11" i="1"/>
  <c r="M10" i="1"/>
  <c r="L10" i="1"/>
  <c r="L15" i="1"/>
  <c r="M15" i="1"/>
  <c r="M19" i="1"/>
  <c r="L19" i="1"/>
  <c r="W3" i="1"/>
  <c r="E18" i="3"/>
  <c r="W4" i="1"/>
  <c r="F33" i="1"/>
  <c r="G33" i="1"/>
  <c r="J20" i="3" l="1"/>
  <c r="W18" i="1"/>
  <c r="AB9" i="1"/>
  <c r="AC6" i="1"/>
  <c r="X7" i="1"/>
  <c r="Z13" i="1"/>
  <c r="Z6" i="1"/>
  <c r="AB5" i="1"/>
  <c r="X13" i="1"/>
  <c r="AD8" i="1"/>
  <c r="Y13" i="1"/>
  <c r="AA16" i="1"/>
  <c r="X11" i="1"/>
  <c r="AD16" i="1"/>
  <c r="Y17" i="1"/>
  <c r="Y15" i="1"/>
  <c r="Z15" i="1"/>
  <c r="AC3" i="1"/>
  <c r="AD9" i="1"/>
  <c r="Y10" i="1"/>
  <c r="AA7" i="1"/>
  <c r="AA17" i="1"/>
  <c r="AD13" i="1"/>
  <c r="Y4" i="1"/>
  <c r="X12" i="1"/>
  <c r="X15" i="1"/>
  <c r="AD14" i="1"/>
  <c r="X16" i="1"/>
  <c r="AB12" i="1"/>
  <c r="AA10" i="1"/>
  <c r="Z8" i="1"/>
  <c r="AC5" i="1"/>
  <c r="AC7" i="1"/>
  <c r="Y14" i="1"/>
  <c r="Z3" i="1"/>
  <c r="Y16" i="1"/>
  <c r="X14" i="1"/>
  <c r="AB10" i="1"/>
  <c r="AD7" i="1"/>
  <c r="AC9" i="1"/>
  <c r="Z17" i="1"/>
  <c r="Y7" i="1"/>
  <c r="X5" i="1"/>
  <c r="X3" i="1"/>
  <c r="AB14" i="1"/>
  <c r="AD11" i="1"/>
  <c r="AB7" i="1"/>
  <c r="Z4" i="1"/>
  <c r="Z7" i="1"/>
  <c r="Y8" i="1"/>
  <c r="Z10" i="1"/>
  <c r="X9" i="1"/>
  <c r="AA13" i="1"/>
  <c r="AC12" i="1"/>
  <c r="AD12" i="1"/>
  <c r="AB13" i="1"/>
  <c r="AC16" i="1"/>
  <c r="Y3" i="1"/>
  <c r="X8" i="1"/>
  <c r="AB4" i="1"/>
  <c r="AB17" i="1"/>
  <c r="AA15" i="1"/>
  <c r="AC4" i="1"/>
  <c r="AB15" i="1"/>
  <c r="AA6" i="1"/>
  <c r="AA9" i="1"/>
  <c r="AD4" i="1"/>
  <c r="AA4" i="1"/>
  <c r="AB3" i="1"/>
  <c r="AC8" i="1"/>
  <c r="Y11" i="1"/>
  <c r="Y5" i="1"/>
  <c r="X6" i="1"/>
  <c r="AA8" i="1"/>
  <c r="Z11" i="1"/>
  <c r="Y9" i="1"/>
  <c r="AC15" i="1"/>
  <c r="X4" i="1"/>
  <c r="X17" i="1"/>
  <c r="AA11" i="1"/>
  <c r="AD10" i="1"/>
  <c r="Z9" i="1"/>
  <c r="Z14" i="1"/>
  <c r="Y12" i="1"/>
  <c r="X10" i="1"/>
  <c r="AB6" i="1"/>
  <c r="AC10" i="1"/>
  <c r="AC14" i="1"/>
  <c r="AA12" i="1"/>
  <c r="AB16" i="1"/>
  <c r="AA14" i="1"/>
  <c r="Z12" i="1"/>
  <c r="AD15" i="1"/>
  <c r="AD5" i="1"/>
  <c r="AC11" i="1"/>
  <c r="Y6" i="1"/>
  <c r="AA5" i="1"/>
  <c r="AA3" i="1"/>
  <c r="Z16" i="1"/>
  <c r="AC13" i="1"/>
  <c r="AD3" i="1"/>
  <c r="AB8" i="1"/>
  <c r="AB11" i="1"/>
  <c r="AD17" i="1"/>
  <c r="AD6" i="1"/>
  <c r="AC17" i="1"/>
  <c r="Z5" i="1"/>
  <c r="AF8" i="1" l="1"/>
  <c r="AI8" i="1" s="1"/>
  <c r="AF6" i="1"/>
  <c r="AI6" i="1" s="1"/>
  <c r="AF15" i="1"/>
  <c r="AI15" i="1" s="1"/>
  <c r="AF3" i="1"/>
  <c r="AI3" i="1" s="1"/>
  <c r="AF16" i="1"/>
  <c r="AI16" i="1" s="1"/>
  <c r="AF14" i="1"/>
  <c r="AI14" i="1" s="1"/>
  <c r="AF13" i="1"/>
  <c r="AI13" i="1" s="1"/>
  <c r="AF9" i="1"/>
  <c r="AI9" i="1" s="1"/>
  <c r="AF5" i="1"/>
  <c r="AI5" i="1" s="1"/>
  <c r="AF10" i="1"/>
  <c r="AI10" i="1" s="1"/>
  <c r="AF7" i="1"/>
  <c r="AI7" i="1" s="1"/>
  <c r="AE4" i="1"/>
  <c r="AH4" i="1" s="1"/>
  <c r="AE10" i="1"/>
  <c r="AH10" i="1" s="1"/>
  <c r="AE17" i="1"/>
  <c r="AH17" i="1" s="1"/>
  <c r="AE14" i="1"/>
  <c r="AH14" i="1" s="1"/>
  <c r="AE11" i="1"/>
  <c r="AH11" i="1" s="1"/>
  <c r="AE13" i="1"/>
  <c r="AH13" i="1" s="1"/>
  <c r="AE5" i="1"/>
  <c r="AH5" i="1" s="1"/>
  <c r="AF17" i="1"/>
  <c r="AI17" i="1" s="1"/>
  <c r="AE16" i="1"/>
  <c r="AH16" i="1" s="1"/>
  <c r="AE9" i="1"/>
  <c r="AH9" i="1" s="1"/>
  <c r="AF12" i="1"/>
  <c r="AI12" i="1" s="1"/>
  <c r="AE15" i="1"/>
  <c r="AH15" i="1" s="1"/>
  <c r="AE3" i="1"/>
  <c r="AH3" i="1" s="1"/>
  <c r="AE8" i="1"/>
  <c r="AH8" i="1" s="1"/>
  <c r="AF11" i="1"/>
  <c r="AI11" i="1" s="1"/>
  <c r="AE7" i="1"/>
  <c r="AH7" i="1" s="1"/>
  <c r="AE6" i="1"/>
  <c r="AH6" i="1" s="1"/>
  <c r="AE12" i="1"/>
  <c r="AH12" i="1" s="1"/>
  <c r="AF4" i="1"/>
  <c r="AI4" i="1" s="1"/>
  <c r="I32" i="1" l="1"/>
  <c r="I2" i="1"/>
  <c r="I23" i="1"/>
  <c r="I30" i="1"/>
  <c r="I15" i="1"/>
  <c r="I14" i="1"/>
  <c r="I8" i="1"/>
  <c r="I29" i="1"/>
  <c r="I7" i="1"/>
  <c r="I21" i="1"/>
  <c r="I9" i="1"/>
  <c r="I28" i="1"/>
  <c r="I16" i="1"/>
  <c r="I22" i="1"/>
  <c r="I6" i="1"/>
  <c r="I13" i="1"/>
  <c r="I5" i="1"/>
  <c r="I27" i="1"/>
  <c r="I20" i="1"/>
  <c r="I12" i="1"/>
  <c r="I24" i="1"/>
  <c r="H4" i="1"/>
  <c r="H29" i="1"/>
  <c r="I4" i="1"/>
  <c r="H21" i="1"/>
  <c r="H23" i="1"/>
  <c r="I17" i="1"/>
  <c r="H10" i="1"/>
  <c r="H19" i="1"/>
  <c r="I31" i="1"/>
  <c r="H31" i="1"/>
  <c r="H26" i="1"/>
  <c r="H15" i="1"/>
  <c r="H13" i="1"/>
  <c r="I19" i="1"/>
  <c r="I25" i="1"/>
  <c r="H24" i="1"/>
  <c r="H18" i="1"/>
  <c r="H17" i="1"/>
  <c r="I26" i="1"/>
  <c r="I18" i="1"/>
  <c r="I3" i="1"/>
  <c r="I10" i="1"/>
  <c r="H9" i="1"/>
  <c r="I11" i="1"/>
  <c r="H11" i="1"/>
  <c r="H6" i="1"/>
  <c r="H8" i="1"/>
  <c r="H2" i="1"/>
  <c r="H3" i="1"/>
  <c r="AG7" i="1"/>
  <c r="AG14" i="1"/>
  <c r="H28" i="1"/>
  <c r="AG11" i="1"/>
  <c r="AG6" i="1"/>
  <c r="AG3" i="1"/>
  <c r="AG16" i="1"/>
  <c r="AG17" i="1"/>
  <c r="H14" i="1"/>
  <c r="H20" i="1"/>
  <c r="AG5" i="1"/>
  <c r="H12" i="1"/>
  <c r="H30" i="1"/>
  <c r="AG13" i="1"/>
  <c r="AG8" i="1"/>
  <c r="H22" i="1"/>
  <c r="H16" i="1"/>
  <c r="H5" i="1"/>
  <c r="AG9" i="1"/>
  <c r="H25" i="1"/>
  <c r="H32" i="1"/>
  <c r="AG12" i="1"/>
  <c r="AG10" i="1"/>
  <c r="H27" i="1"/>
  <c r="AG15" i="1"/>
  <c r="H7" i="1"/>
  <c r="AG4" i="1"/>
</calcChain>
</file>

<file path=xl/sharedStrings.xml><?xml version="1.0" encoding="utf-8"?>
<sst xmlns="http://schemas.openxmlformats.org/spreadsheetml/2006/main" count="113" uniqueCount="47">
  <si>
    <t>İsim Listesi</t>
  </si>
  <si>
    <t>Ali</t>
  </si>
  <si>
    <t>Veli</t>
  </si>
  <si>
    <t>Can</t>
  </si>
  <si>
    <t>Deniz</t>
  </si>
  <si>
    <t>Eyşan</t>
  </si>
  <si>
    <t>Caner</t>
  </si>
  <si>
    <t>Ahmet</t>
  </si>
  <si>
    <t>Mehmet</t>
  </si>
  <si>
    <t>Toplam Sayı</t>
  </si>
  <si>
    <t>S.Nu</t>
  </si>
  <si>
    <t>Toplam</t>
  </si>
  <si>
    <t>Mazeret Durumu</t>
  </si>
  <si>
    <t>H.S</t>
  </si>
  <si>
    <t>Yazılan</t>
  </si>
  <si>
    <t>H.SC</t>
  </si>
  <si>
    <t>H.SP</t>
  </si>
  <si>
    <t>Tutması Gereken Nöbet Sayıları</t>
  </si>
  <si>
    <t>Hafta Sonu</t>
  </si>
  <si>
    <t>Alt-Üst Durumu</t>
  </si>
  <si>
    <t>Kaç Hafta Sonu Nöb Var</t>
  </si>
  <si>
    <t>H.i</t>
  </si>
  <si>
    <t>Hafta İçi</t>
  </si>
  <si>
    <t>Kaç Hafta İçi Nöbet Var</t>
  </si>
  <si>
    <t>H.İP</t>
  </si>
  <si>
    <t>H.İS</t>
  </si>
  <si>
    <t>H.İÇ</t>
  </si>
  <si>
    <t>H.İC</t>
  </si>
  <si>
    <t>HaftaSonu</t>
  </si>
  <si>
    <t>YIL</t>
  </si>
  <si>
    <t>AY</t>
  </si>
  <si>
    <t>Ayın Son Günü</t>
  </si>
  <si>
    <t>Hafta Sonu Gün Sayısı</t>
  </si>
  <si>
    <t>İsim Soyisim</t>
  </si>
  <si>
    <t>Tarih</t>
  </si>
  <si>
    <t>Perşembe</t>
  </si>
  <si>
    <t>Cuma</t>
  </si>
  <si>
    <t>Cumartesi</t>
  </si>
  <si>
    <t>Pazar</t>
  </si>
  <si>
    <t>Pazartesi</t>
  </si>
  <si>
    <t>Salı</t>
  </si>
  <si>
    <t>Çarşamba</t>
  </si>
  <si>
    <t>Aydaki Gün Sayısı</t>
  </si>
  <si>
    <t>Aydaki H.Sonu Sayısı</t>
  </si>
  <si>
    <t>Merter</t>
  </si>
  <si>
    <t>Ceren</t>
  </si>
  <si>
    <t>Damla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</si>
</sst>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charset val="162"/>
      <scheme val="minor"/>
    </font>
    <font>
      <sz val="48"/>
      <color theme="1"/>
      <name val="Calibri"/>
      <family val="2"/>
      <charset val="162"/>
      <scheme val="minor"/>
    </font>
    <font>
      <b/>
      <u/>
      <sz val="40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22"/>
      <color theme="1"/>
      <name val="Calibri"/>
      <family val="2"/>
      <charset val="162"/>
      <scheme val="minor"/>
    </font>
    <font>
      <b/>
      <sz val="20"/>
      <color theme="1"/>
      <name val="Calibri"/>
      <family val="2"/>
      <charset val="162"/>
      <scheme val="minor"/>
    </font>
    <font>
      <sz val="14"/>
      <color theme="1"/>
      <name val="Calibri"/>
      <family val="2"/>
      <charset val="162"/>
      <scheme val="minor"/>
    </font>
    <font>
      <b/>
      <sz val="18"/>
      <color theme="1"/>
      <name val="Calibri"/>
      <family val="2"/>
      <charset val="162"/>
      <scheme val="minor"/>
    </font>
    <font>
      <b/>
      <sz val="16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</fills>
  <borders count="5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8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0" fillId="0" borderId="21" xfId="0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protection locked="0"/>
    </xf>
    <xf numFmtId="14" fontId="0" fillId="0" borderId="15" xfId="0" applyNumberFormat="1" applyBorder="1" applyAlignment="1" applyProtection="1">
      <alignment horizontal="center" vertical="center"/>
      <protection locked="0"/>
    </xf>
    <xf numFmtId="14" fontId="0" fillId="0" borderId="16" xfId="0" applyNumberFormat="1" applyBorder="1" applyAlignment="1" applyProtection="1">
      <alignment horizontal="center" vertical="center"/>
      <protection locked="0"/>
    </xf>
    <xf numFmtId="0" fontId="0" fillId="0" borderId="16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Protection="1">
      <protection locked="0"/>
    </xf>
    <xf numFmtId="0" fontId="0" fillId="0" borderId="24" xfId="0" applyBorder="1" applyProtection="1">
      <protection locked="0"/>
    </xf>
    <xf numFmtId="14" fontId="0" fillId="0" borderId="3" xfId="0" applyNumberFormat="1" applyBorder="1" applyAlignment="1" applyProtection="1">
      <alignment horizontal="center"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NumberFormat="1" applyBorder="1" applyAlignment="1" applyProtection="1">
      <alignment horizontal="center" vertical="center"/>
      <protection locked="0"/>
    </xf>
    <xf numFmtId="14" fontId="0" fillId="0" borderId="13" xfId="0" applyNumberFormat="1" applyBorder="1" applyAlignment="1" applyProtection="1">
      <alignment horizontal="center" vertical="center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0" fontId="0" fillId="0" borderId="5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4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9" xfId="0" applyFill="1" applyBorder="1" applyAlignment="1" applyProtection="1">
      <alignment horizontal="center" vertical="center"/>
    </xf>
    <xf numFmtId="0" fontId="0" fillId="0" borderId="20" xfId="0" applyFill="1" applyBorder="1" applyAlignment="1" applyProtection="1">
      <alignment horizontal="center" vertical="center"/>
    </xf>
    <xf numFmtId="0" fontId="0" fillId="0" borderId="0" xfId="0" applyProtection="1"/>
    <xf numFmtId="0" fontId="0" fillId="0" borderId="0" xfId="0" applyBorder="1" applyAlignment="1" applyProtection="1"/>
    <xf numFmtId="0" fontId="0" fillId="0" borderId="0" xfId="0" applyAlignment="1" applyProtection="1"/>
    <xf numFmtId="0" fontId="0" fillId="0" borderId="17" xfId="0" applyBorder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0" xfId="0" applyNumberFormat="1" applyProtection="1"/>
    <xf numFmtId="0" fontId="0" fillId="0" borderId="1" xfId="0" applyBorder="1" applyProtection="1"/>
    <xf numFmtId="0" fontId="0" fillId="0" borderId="6" xfId="0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4" fontId="0" fillId="0" borderId="28" xfId="0" applyNumberFormat="1" applyBorder="1" applyAlignment="1" applyProtection="1">
      <alignment horizontal="center" vertical="center"/>
      <protection locked="0"/>
    </xf>
    <xf numFmtId="14" fontId="0" fillId="0" borderId="29" xfId="0" applyNumberFormat="1" applyBorder="1" applyAlignment="1" applyProtection="1">
      <alignment horizontal="center" vertical="center"/>
      <protection locked="0"/>
    </xf>
    <xf numFmtId="14" fontId="0" fillId="0" borderId="7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4" fillId="0" borderId="20" xfId="0" applyFont="1" applyBorder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 applyProtection="1">
      <alignment horizontal="center" vertical="center"/>
      <protection locked="0"/>
    </xf>
    <xf numFmtId="0" fontId="6" fillId="4" borderId="19" xfId="0" applyFont="1" applyFill="1" applyBorder="1" applyAlignment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  <protection locked="0"/>
    </xf>
    <xf numFmtId="0" fontId="6" fillId="3" borderId="19" xfId="0" applyFont="1" applyFill="1" applyBorder="1" applyAlignment="1">
      <alignment horizontal="center" vertical="center"/>
    </xf>
    <xf numFmtId="0" fontId="6" fillId="3" borderId="30" xfId="0" applyFont="1" applyFill="1" applyBorder="1" applyAlignment="1" applyProtection="1">
      <alignment horizontal="center"/>
      <protection locked="0"/>
    </xf>
    <xf numFmtId="0" fontId="6" fillId="4" borderId="30" xfId="0" applyFont="1" applyFill="1" applyBorder="1" applyAlignment="1" applyProtection="1">
      <alignment horizontal="center"/>
      <protection locked="0"/>
    </xf>
    <xf numFmtId="0" fontId="7" fillId="2" borderId="31" xfId="0" applyFont="1" applyFill="1" applyBorder="1" applyAlignment="1">
      <alignment horizontal="center" vertical="center"/>
    </xf>
    <xf numFmtId="0" fontId="6" fillId="7" borderId="14" xfId="0" applyFont="1" applyFill="1" applyBorder="1" applyAlignment="1" applyProtection="1">
      <alignment horizontal="center"/>
      <protection locked="0"/>
    </xf>
    <xf numFmtId="0" fontId="0" fillId="7" borderId="24" xfId="0" applyFill="1" applyBorder="1" applyAlignment="1">
      <alignment horizontal="center" vertical="center"/>
    </xf>
    <xf numFmtId="0" fontId="0" fillId="0" borderId="0" xfId="0" applyBorder="1"/>
    <xf numFmtId="0" fontId="0" fillId="0" borderId="37" xfId="0" applyBorder="1"/>
    <xf numFmtId="0" fontId="0" fillId="0" borderId="41" xfId="0" applyBorder="1" applyAlignment="1">
      <alignment horizontal="center" vertical="center"/>
    </xf>
    <xf numFmtId="0" fontId="6" fillId="4" borderId="21" xfId="0" applyFont="1" applyFill="1" applyBorder="1" applyAlignment="1">
      <alignment horizontal="center" vertical="center"/>
    </xf>
    <xf numFmtId="0" fontId="6" fillId="3" borderId="21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horizontal="center" vertical="center"/>
    </xf>
    <xf numFmtId="0" fontId="6" fillId="3" borderId="42" xfId="0" applyFont="1" applyFill="1" applyBorder="1" applyAlignment="1">
      <alignment horizontal="center" vertical="center"/>
    </xf>
    <xf numFmtId="0" fontId="3" fillId="7" borderId="43" xfId="0" applyFont="1" applyFill="1" applyBorder="1" applyAlignment="1">
      <alignment horizontal="center" vertical="center"/>
    </xf>
    <xf numFmtId="0" fontId="3" fillId="7" borderId="44" xfId="0" applyFont="1" applyFill="1" applyBorder="1" applyAlignment="1">
      <alignment horizontal="center" vertical="center"/>
    </xf>
    <xf numFmtId="0" fontId="0" fillId="0" borderId="35" xfId="0" applyBorder="1"/>
    <xf numFmtId="0" fontId="3" fillId="7" borderId="45" xfId="0" applyFont="1" applyFill="1" applyBorder="1" applyAlignment="1">
      <alignment horizontal="center" vertical="center"/>
    </xf>
    <xf numFmtId="0" fontId="0" fillId="2" borderId="47" xfId="0" applyFill="1" applyBorder="1" applyAlignment="1">
      <alignment horizontal="center" vertical="center"/>
    </xf>
    <xf numFmtId="0" fontId="6" fillId="3" borderId="48" xfId="0" applyFont="1" applyFill="1" applyBorder="1" applyAlignment="1" applyProtection="1">
      <alignment horizontal="center"/>
      <protection locked="0"/>
    </xf>
    <xf numFmtId="0" fontId="6" fillId="4" borderId="48" xfId="0" applyFont="1" applyFill="1" applyBorder="1" applyAlignment="1" applyProtection="1">
      <alignment horizontal="center"/>
      <protection locked="0"/>
    </xf>
    <xf numFmtId="0" fontId="3" fillId="2" borderId="49" xfId="0" applyFont="1" applyFill="1" applyBorder="1" applyAlignment="1">
      <alignment horizontal="center" vertical="center"/>
    </xf>
    <xf numFmtId="0" fontId="3" fillId="2" borderId="46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0" fontId="9" fillId="3" borderId="18" xfId="0" applyNumberFormat="1" applyFont="1" applyFill="1" applyBorder="1" applyAlignment="1" applyProtection="1">
      <alignment horizontal="center" vertical="center"/>
      <protection locked="0"/>
    </xf>
    <xf numFmtId="0" fontId="9" fillId="3" borderId="19" xfId="0" applyNumberFormat="1" applyFont="1" applyFill="1" applyBorder="1" applyAlignment="1" applyProtection="1">
      <alignment horizontal="center" vertical="center"/>
      <protection locked="0"/>
    </xf>
    <xf numFmtId="0" fontId="9" fillId="3" borderId="19" xfId="0" applyNumberFormat="1" applyFont="1" applyFill="1" applyBorder="1" applyAlignment="1">
      <alignment horizontal="center" vertical="center"/>
    </xf>
    <xf numFmtId="0" fontId="9" fillId="3" borderId="20" xfId="0" applyNumberFormat="1" applyFont="1" applyFill="1" applyBorder="1" applyAlignment="1" applyProtection="1">
      <alignment horizontal="center" vertical="center"/>
      <protection locked="0"/>
    </xf>
    <xf numFmtId="0" fontId="9" fillId="4" borderId="18" xfId="0" applyNumberFormat="1" applyFont="1" applyFill="1" applyBorder="1" applyAlignment="1" applyProtection="1">
      <alignment horizontal="center" vertical="center"/>
      <protection locked="0"/>
    </xf>
    <xf numFmtId="0" fontId="9" fillId="4" borderId="19" xfId="0" applyNumberFormat="1" applyFont="1" applyFill="1" applyBorder="1" applyAlignment="1" applyProtection="1">
      <alignment horizontal="center" vertical="center"/>
      <protection locked="0"/>
    </xf>
    <xf numFmtId="0" fontId="9" fillId="4" borderId="19" xfId="0" applyNumberFormat="1" applyFont="1" applyFill="1" applyBorder="1" applyAlignment="1">
      <alignment horizontal="center" vertical="center"/>
    </xf>
    <xf numFmtId="0" fontId="9" fillId="4" borderId="20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</xf>
    <xf numFmtId="0" fontId="0" fillId="0" borderId="8" xfId="0" applyBorder="1" applyAlignment="1" applyProtection="1">
      <alignment horizontal="center"/>
    </xf>
    <xf numFmtId="0" fontId="0" fillId="0" borderId="9" xfId="0" applyBorder="1" applyAlignment="1" applyProtection="1">
      <alignment horizontal="center"/>
    </xf>
    <xf numFmtId="0" fontId="0" fillId="0" borderId="10" xfId="0" applyBorder="1" applyAlignment="1" applyProtection="1">
      <alignment horizontal="center"/>
    </xf>
    <xf numFmtId="0" fontId="8" fillId="6" borderId="51" xfId="0" applyFont="1" applyFill="1" applyBorder="1" applyAlignment="1">
      <alignment horizontal="center" vertical="center"/>
    </xf>
    <xf numFmtId="0" fontId="8" fillId="6" borderId="52" xfId="0" applyFont="1" applyFill="1" applyBorder="1" applyAlignment="1">
      <alignment horizontal="center" vertical="center"/>
    </xf>
    <xf numFmtId="0" fontId="8" fillId="6" borderId="53" xfId="0" applyFont="1" applyFill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1" fillId="5" borderId="34" xfId="0" applyFont="1" applyFill="1" applyBorder="1" applyAlignment="1" applyProtection="1">
      <alignment horizontal="center" vertical="center"/>
      <protection locked="0"/>
    </xf>
    <xf numFmtId="0" fontId="1" fillId="5" borderId="35" xfId="0" applyFont="1" applyFill="1" applyBorder="1" applyAlignment="1" applyProtection="1">
      <alignment horizontal="center" vertical="center"/>
      <protection locked="0"/>
    </xf>
    <xf numFmtId="0" fontId="1" fillId="5" borderId="36" xfId="0" applyFont="1" applyFill="1" applyBorder="1" applyAlignment="1" applyProtection="1">
      <alignment horizontal="center" vertical="center"/>
      <protection locked="0"/>
    </xf>
    <xf numFmtId="0" fontId="1" fillId="5" borderId="37" xfId="0" applyFont="1" applyFill="1" applyBorder="1" applyAlignment="1" applyProtection="1">
      <alignment horizontal="center" vertical="center"/>
      <protection locked="0"/>
    </xf>
    <xf numFmtId="0" fontId="1" fillId="5" borderId="0" xfId="0" applyFont="1" applyFill="1" applyBorder="1" applyAlignment="1" applyProtection="1">
      <alignment horizontal="center" vertical="center"/>
      <protection locked="0"/>
    </xf>
    <xf numFmtId="0" fontId="1" fillId="5" borderId="38" xfId="0" applyFont="1" applyFill="1" applyBorder="1" applyAlignment="1" applyProtection="1">
      <alignment horizontal="center" vertical="center"/>
      <protection locked="0"/>
    </xf>
    <xf numFmtId="0" fontId="1" fillId="5" borderId="39" xfId="0" applyFont="1" applyFill="1" applyBorder="1" applyAlignment="1" applyProtection="1">
      <alignment horizontal="center" vertical="center"/>
      <protection locked="0"/>
    </xf>
    <xf numFmtId="0" fontId="1" fillId="5" borderId="40" xfId="0" applyFont="1" applyFill="1" applyBorder="1" applyAlignment="1" applyProtection="1">
      <alignment horizontal="center" vertical="center"/>
      <protection locked="0"/>
    </xf>
    <xf numFmtId="0" fontId="1" fillId="5" borderId="41" xfId="0" applyFont="1" applyFill="1" applyBorder="1" applyAlignment="1" applyProtection="1">
      <alignment horizontal="center" vertical="center"/>
      <protection locked="0"/>
    </xf>
    <xf numFmtId="0" fontId="2" fillId="7" borderId="34" xfId="0" applyFont="1" applyFill="1" applyBorder="1" applyAlignment="1">
      <alignment horizontal="center" vertical="center"/>
    </xf>
    <xf numFmtId="0" fontId="2" fillId="7" borderId="35" xfId="0" applyFont="1" applyFill="1" applyBorder="1" applyAlignment="1">
      <alignment horizontal="center" vertical="center"/>
    </xf>
    <xf numFmtId="0" fontId="2" fillId="7" borderId="36" xfId="0" applyFont="1" applyFill="1" applyBorder="1" applyAlignment="1">
      <alignment horizontal="center" vertical="center"/>
    </xf>
    <xf numFmtId="0" fontId="2" fillId="7" borderId="37" xfId="0" applyFont="1" applyFill="1" applyBorder="1" applyAlignment="1">
      <alignment horizontal="center" vertical="center"/>
    </xf>
    <xf numFmtId="0" fontId="2" fillId="7" borderId="0" xfId="0" applyFont="1" applyFill="1" applyBorder="1" applyAlignment="1">
      <alignment horizontal="center" vertical="center"/>
    </xf>
    <xf numFmtId="0" fontId="2" fillId="7" borderId="38" xfId="0" applyFont="1" applyFill="1" applyBorder="1" applyAlignment="1">
      <alignment horizontal="center" vertical="center"/>
    </xf>
    <xf numFmtId="0" fontId="2" fillId="7" borderId="39" xfId="0" applyFont="1" applyFill="1" applyBorder="1" applyAlignment="1">
      <alignment horizontal="center" vertical="center"/>
    </xf>
    <xf numFmtId="0" fontId="2" fillId="7" borderId="40" xfId="0" applyFont="1" applyFill="1" applyBorder="1" applyAlignment="1">
      <alignment horizontal="center" vertical="center"/>
    </xf>
    <xf numFmtId="0" fontId="2" fillId="7" borderId="41" xfId="0" applyFont="1" applyFill="1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33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428625</xdr:colOff>
      <xdr:row>10</xdr:row>
      <xdr:rowOff>19050</xdr:rowOff>
    </xdr:from>
    <xdr:to>
      <xdr:col>11</xdr:col>
      <xdr:colOff>208187</xdr:colOff>
      <xdr:row>15</xdr:row>
      <xdr:rowOff>5443</xdr:rowOff>
    </xdr:to>
    <xdr:sp macro="[0]!Hesapla" textlink="">
      <xdr:nvSpPr>
        <xdr:cNvPr id="2" name="3 Yuvarlatılmış Dikdörtgen"/>
        <xdr:cNvSpPr/>
      </xdr:nvSpPr>
      <xdr:spPr>
        <a:xfrm>
          <a:off x="6134100" y="2333625"/>
          <a:ext cx="2217962" cy="938893"/>
        </a:xfrm>
        <a:prstGeom prst="round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tr-TR" sz="3600"/>
            <a:t>YAZMAYA</a:t>
          </a:r>
          <a:br>
            <a:rPr lang="tr-TR" sz="3600"/>
          </a:br>
          <a:r>
            <a:rPr lang="tr-TR" sz="3600"/>
            <a:t>BAŞLA</a:t>
          </a:r>
        </a:p>
      </xdr:txBody>
    </xdr:sp>
    <xdr:clientData/>
  </xdr:twoCellAnchor>
  <xdr:twoCellAnchor>
    <xdr:from>
      <xdr:col>11</xdr:col>
      <xdr:colOff>274863</xdr:colOff>
      <xdr:row>10</xdr:row>
      <xdr:rowOff>32659</xdr:rowOff>
    </xdr:from>
    <xdr:to>
      <xdr:col>15</xdr:col>
      <xdr:colOff>83003</xdr:colOff>
      <xdr:row>15</xdr:row>
      <xdr:rowOff>19052</xdr:rowOff>
    </xdr:to>
    <xdr:sp macro="[0]!Temizle" textlink="">
      <xdr:nvSpPr>
        <xdr:cNvPr id="3" name="4 Yuvarlatılmış Dikdörtgen"/>
        <xdr:cNvSpPr/>
      </xdr:nvSpPr>
      <xdr:spPr>
        <a:xfrm>
          <a:off x="8418738" y="2347234"/>
          <a:ext cx="2246540" cy="938893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tr-TR" sz="3600"/>
            <a:t>LİSTE</a:t>
          </a:r>
          <a:br>
            <a:rPr lang="tr-TR" sz="3600"/>
          </a:br>
          <a:r>
            <a:rPr lang="tr-TR" sz="3600"/>
            <a:t>TEMİZLE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1"/>
  <dimension ref="A1:BJ50"/>
  <sheetViews>
    <sheetView zoomScale="70" zoomScaleNormal="70" workbookViewId="0">
      <selection activeCell="W26" sqref="W26"/>
    </sheetView>
  </sheetViews>
  <sheetFormatPr defaultRowHeight="15" x14ac:dyDescent="0.25"/>
  <cols>
    <col min="1" max="1" width="3.42578125" style="5" bestFit="1" customWidth="1"/>
    <col min="2" max="2" width="12" style="5" customWidth="1"/>
    <col min="3" max="3" width="3.85546875" style="5" customWidth="1"/>
    <col min="4" max="4" width="3.42578125" style="5" bestFit="1" customWidth="1"/>
    <col min="5" max="5" width="10.7109375" style="5" bestFit="1" customWidth="1"/>
    <col min="6" max="6" width="16" style="5" bestFit="1" customWidth="1"/>
    <col min="7" max="7" width="14.85546875" style="5" customWidth="1"/>
    <col min="8" max="8" width="21.42578125" style="5" bestFit="1" customWidth="1"/>
    <col min="9" max="9" width="22" style="5" bestFit="1" customWidth="1"/>
    <col min="10" max="10" width="13.85546875" style="5" bestFit="1" customWidth="1"/>
    <col min="11" max="11" width="20" style="5" bestFit="1" customWidth="1"/>
    <col min="12" max="12" width="13.85546875" style="5" bestFit="1" customWidth="1"/>
    <col min="13" max="13" width="4.140625" style="5" customWidth="1"/>
    <col min="14" max="14" width="7.28515625" style="5" bestFit="1" customWidth="1"/>
    <col min="15" max="16" width="4.140625" style="5" customWidth="1"/>
    <col min="17" max="18" width="5.28515625" style="5" bestFit="1" customWidth="1"/>
    <col min="19" max="19" width="8.5703125" style="5" bestFit="1" customWidth="1"/>
    <col min="20" max="20" width="11.7109375" style="5" customWidth="1"/>
    <col min="21" max="21" width="10.42578125" style="5" customWidth="1"/>
    <col min="22" max="22" width="7" style="5" customWidth="1"/>
    <col min="23" max="23" width="8.7109375" style="5" bestFit="1" customWidth="1"/>
    <col min="24" max="24" width="5.5703125" style="5" customWidth="1"/>
    <col min="25" max="25" width="5.7109375" style="5" customWidth="1"/>
    <col min="26" max="26" width="4.85546875" style="5" customWidth="1"/>
    <col min="27" max="27" width="4.85546875" style="5" bestFit="1" customWidth="1"/>
    <col min="28" max="28" width="5.140625" style="5" customWidth="1"/>
    <col min="29" max="31" width="5.28515625" style="5" customWidth="1"/>
    <col min="32" max="32" width="4" style="5" customWidth="1"/>
    <col min="33" max="33" width="8" style="5" customWidth="1"/>
    <col min="34" max="34" width="4.42578125" style="5" customWidth="1"/>
    <col min="35" max="35" width="5.28515625" style="5" customWidth="1"/>
    <col min="36" max="36" width="4.5703125" style="5" customWidth="1"/>
    <col min="37" max="37" width="12.140625" style="5" bestFit="1" customWidth="1"/>
    <col min="38" max="38" width="5" style="5" customWidth="1"/>
    <col min="39" max="39" width="4" style="5" customWidth="1"/>
    <col min="40" max="40" width="6.7109375" style="5" customWidth="1"/>
    <col min="41" max="44" width="4" style="5" customWidth="1"/>
    <col min="45" max="45" width="9.140625" style="5"/>
    <col min="46" max="46" width="11.5703125" style="5" bestFit="1" customWidth="1"/>
    <col min="47" max="50" width="4" style="5" customWidth="1"/>
    <col min="51" max="51" width="7.28515625" style="5" bestFit="1" customWidth="1"/>
    <col min="52" max="52" width="4" style="5" customWidth="1"/>
    <col min="53" max="53" width="7.42578125" style="5" bestFit="1" customWidth="1"/>
    <col min="54" max="55" width="4" style="5" customWidth="1"/>
    <col min="56" max="61" width="5.28515625" style="5" bestFit="1" customWidth="1"/>
    <col min="62" max="62" width="4" style="5" customWidth="1"/>
    <col min="63" max="16384" width="9.140625" style="5"/>
  </cols>
  <sheetData>
    <row r="1" spans="1:62" ht="35.25" customHeight="1" thickBot="1" x14ac:dyDescent="0.3">
      <c r="A1" s="1">
        <f>Liste!B218</f>
        <v>2</v>
      </c>
      <c r="B1" s="2">
        <f>Liste!A218</f>
        <v>2020</v>
      </c>
      <c r="C1" s="3"/>
      <c r="D1" s="4"/>
      <c r="E1" s="21" t="s">
        <v>0</v>
      </c>
      <c r="F1" s="22" t="s">
        <v>12</v>
      </c>
      <c r="G1" s="23" t="s">
        <v>19</v>
      </c>
      <c r="H1" s="24" t="s">
        <v>23</v>
      </c>
      <c r="I1" s="24" t="s">
        <v>20</v>
      </c>
      <c r="J1" s="24" t="s">
        <v>31</v>
      </c>
      <c r="K1" s="25" t="s">
        <v>32</v>
      </c>
      <c r="L1" s="26"/>
      <c r="M1" s="27"/>
      <c r="N1" s="27"/>
      <c r="O1" s="27"/>
      <c r="P1" s="27"/>
      <c r="Q1" s="27"/>
      <c r="R1" s="26"/>
      <c r="S1" s="26"/>
      <c r="T1" s="81" t="s">
        <v>17</v>
      </c>
      <c r="U1" s="82"/>
      <c r="V1" s="82"/>
      <c r="W1" s="83"/>
      <c r="X1" s="80" t="s">
        <v>22</v>
      </c>
      <c r="Y1" s="80"/>
      <c r="Z1" s="80"/>
      <c r="AA1" s="80"/>
      <c r="AB1" s="80"/>
      <c r="AC1" s="80" t="s">
        <v>28</v>
      </c>
      <c r="AD1" s="80"/>
      <c r="AE1" s="80" t="s">
        <v>11</v>
      </c>
      <c r="AF1" s="80"/>
      <c r="AG1" s="80"/>
      <c r="AH1" s="28"/>
      <c r="AI1" s="28"/>
      <c r="AJ1" s="6"/>
      <c r="AK1" s="6"/>
      <c r="AL1" s="6"/>
      <c r="BJ1" s="5" t="s">
        <v>10</v>
      </c>
    </row>
    <row r="2" spans="1:62" ht="15.75" thickBot="1" x14ac:dyDescent="0.3">
      <c r="A2" s="1">
        <v>1</v>
      </c>
      <c r="B2" s="7">
        <f>DATE($B$1,$A$1,A2)</f>
        <v>43862</v>
      </c>
      <c r="C2" s="8" t="s">
        <v>35</v>
      </c>
      <c r="D2" s="9">
        <v>10</v>
      </c>
      <c r="E2" s="29" t="str">
        <f>IFERROR(CHOOSE(D2,Mazeret!A$2,Mazeret!A$3,Mazeret!A$4,Mazeret!A$5,Mazeret!A$6,Mazeret!A$7,Mazeret!A$8,Mazeret!A$9,Mazeret!A$10,Mazeret!A$11,Mazeret!A$12,Mazeret!A$13,Mazeret!A$14,Mazeret!A$15,Mazeret!A$16,),0)</f>
        <v>Ceren</v>
      </c>
      <c r="F2" s="30">
        <f>DELTA(IFERROR(IF(E2=Mazeret!A$2,LOOKUP(A2,Mazeret!B$2:P$2),IF(E2=Mazeret!A$3,LOOKUP(A2,Mazeret!B$3:P$3),IF(E2=Mazeret!A$4,LOOKUP(A2,Mazeret!B$4:P$4),IF(E2=Mazeret!A$5,LOOKUP(A2,Mazeret!B$5:P$5),IF(E2=Mazeret!A$6,LOOKUP(A2,Mazeret!B$6:P$6),IF(E2=Mazeret!A$7,LOOKUP(A2,Mazeret!B$7:P$7),IF(E2=Mazeret!A$8,LOOKUP(A2,Mazeret!B$8:P$8),IF(E2=Mazeret!A$9,LOOKUP(A2,Mazeret!B$9:P$9),IF(E2=Mazeret!A$10,LOOKUP(A2,Mazeret!B$10:P$10),IF(E2=Mazeret!A$11,LOOKUP(A2,Mazeret!B$11:P$11),IF(E2=Mazeret!A$12,LOOKUP(A2,Mazeret!B$12:P$12),IF(E2=Mazeret!A$13,LOOKUP(A2,Mazeret!B$13:P$13),IF(E2=Mazeret!A$14,LOOKUP(A2,Mazeret!B$14:P$14),IF(E2=Mazeret!A$15,LOOKUP(A2,Mazeret!B$15:P$15),IF(E2=Mazeret!A$16,LOOKUP(A2,Mazeret!B$16:P$16)))))))))))))))),0),A2)</f>
        <v>0</v>
      </c>
      <c r="G2" s="31">
        <f>IF(E2=E1,1,0)</f>
        <v>0</v>
      </c>
      <c r="H2" s="31">
        <f>VLOOKUP(E2,$S$3:$AI$17,16,0)</f>
        <v>0</v>
      </c>
      <c r="I2" s="32">
        <f t="shared" ref="I2:I32" si="0">IF(OR(C2="Cumartesi",C2="Pazar"),VLOOKUP(E2,$S$3:$AI$17,17,0),0)</f>
        <v>0</v>
      </c>
      <c r="J2" s="10">
        <v>29</v>
      </c>
      <c r="K2" s="11">
        <v>8</v>
      </c>
      <c r="L2" s="26">
        <f>MONTH(B2)-MONTH(B2)</f>
        <v>0</v>
      </c>
      <c r="M2" s="26">
        <f>MONTH(B2)</f>
        <v>2</v>
      </c>
      <c r="N2" s="26"/>
      <c r="O2" s="26"/>
      <c r="P2" s="26"/>
      <c r="Q2" s="26"/>
      <c r="R2" s="26"/>
      <c r="S2" s="26"/>
      <c r="T2" s="33" t="s">
        <v>22</v>
      </c>
      <c r="U2" s="33" t="s">
        <v>18</v>
      </c>
      <c r="V2" s="33" t="s">
        <v>11</v>
      </c>
      <c r="W2" s="33" t="s">
        <v>14</v>
      </c>
      <c r="X2" s="33" t="s">
        <v>24</v>
      </c>
      <c r="Y2" s="33" t="s">
        <v>25</v>
      </c>
      <c r="Z2" s="33" t="s">
        <v>26</v>
      </c>
      <c r="AA2" s="33" t="s">
        <v>24</v>
      </c>
      <c r="AB2" s="33" t="s">
        <v>27</v>
      </c>
      <c r="AC2" s="33" t="s">
        <v>15</v>
      </c>
      <c r="AD2" s="33" t="s">
        <v>16</v>
      </c>
      <c r="AE2" s="33" t="s">
        <v>21</v>
      </c>
      <c r="AF2" s="33" t="s">
        <v>13</v>
      </c>
      <c r="AG2" s="33" t="s">
        <v>11</v>
      </c>
      <c r="AH2" s="28"/>
      <c r="AI2" s="28"/>
      <c r="AJ2" s="6"/>
      <c r="BJ2" s="5">
        <v>2</v>
      </c>
    </row>
    <row r="3" spans="1:62" x14ac:dyDescent="0.25">
      <c r="A3" s="1">
        <v>2</v>
      </c>
      <c r="B3" s="12">
        <f t="shared" ref="B3:B32" si="1">DATE($B$1,$A$1,A3)</f>
        <v>43863</v>
      </c>
      <c r="C3" s="13" t="s">
        <v>36</v>
      </c>
      <c r="D3" s="14">
        <v>1</v>
      </c>
      <c r="E3" s="34" t="str">
        <f>IFERROR(CHOOSE(D3,Mazeret!A$2,Mazeret!A$3,Mazeret!A$4,Mazeret!A$5,Mazeret!A$6,Mazeret!A$7,Mazeret!A$8,Mazeret!A$9,Mazeret!A$10,Mazeret!A$11,Mazeret!A$12,Mazeret!A$13,Mazeret!A$14,Mazeret!A$15,Mazeret!A$16,),0)</f>
        <v>Ali</v>
      </c>
      <c r="F3" s="35">
        <f>DELTA(IFERROR(IF(E3=Mazeret!A$2,LOOKUP(A3,Mazeret!B$2:P$2),IF(E3=Mazeret!A$3,LOOKUP(A3,Mazeret!B$3:P$3),IF(E3=Mazeret!A$4,LOOKUP(A3,Mazeret!B$4:P$4),IF(E3=Mazeret!A$5,LOOKUP(A3,Mazeret!B$5:P$5),IF(E3=Mazeret!A$6,LOOKUP(A3,Mazeret!B$6:P$6),IF(E3=Mazeret!A$7,LOOKUP(A3,Mazeret!B$7:P$7),IF(E3=Mazeret!A$8,LOOKUP(A3,Mazeret!B$8:P$8),IF(E3=Mazeret!A$9,LOOKUP(A3,Mazeret!B$9:P$9),IF(E3=Mazeret!A$10,LOOKUP(A3,Mazeret!B$10:P$10),IF(E3=Mazeret!A$11,LOOKUP(A3,Mazeret!B$11:P$11),IF(E3=Mazeret!A$12,LOOKUP(A3,Mazeret!B$12:P$12),IF(E3=Mazeret!A$13,LOOKUP(A3,Mazeret!B$13:P$13),IF(E3=Mazeret!A$14,LOOKUP(A3,Mazeret!B$14:P$14),IF(E3=Mazeret!A$15,LOOKUP(A3,Mazeret!B$15:P$15),IF(E3=Mazeret!A$16,LOOKUP(A3,Mazeret!B$16:P$16)))))))))))))))),0),A3)</f>
        <v>0</v>
      </c>
      <c r="G3" s="33">
        <f t="shared" ref="G3:G28" si="2">IF(E3=E2,1,0)</f>
        <v>0</v>
      </c>
      <c r="H3" s="33">
        <f t="shared" ref="H3:H32" si="3">VLOOKUP(E3,$S$3:$AI$17,16,0)</f>
        <v>0</v>
      </c>
      <c r="I3" s="33">
        <f t="shared" si="0"/>
        <v>0</v>
      </c>
      <c r="J3" s="36"/>
      <c r="K3" s="26"/>
      <c r="L3" s="26">
        <f>MONTH(B3)-MONTH(B2)</f>
        <v>0</v>
      </c>
      <c r="M3" s="26">
        <f t="shared" ref="M3:M32" si="4">MONTH(B3)</f>
        <v>2</v>
      </c>
      <c r="N3" s="26"/>
      <c r="O3" s="26"/>
      <c r="P3" s="26"/>
      <c r="Q3" s="26"/>
      <c r="R3" s="26"/>
      <c r="S3" s="37" t="str">
        <f>Mazeret!A2</f>
        <v>Ali</v>
      </c>
      <c r="T3" s="33">
        <f>Liste!B3</f>
        <v>3</v>
      </c>
      <c r="U3" s="33">
        <f>Liste!C3</f>
        <v>0</v>
      </c>
      <c r="V3" s="33">
        <f>Liste!D3</f>
        <v>3</v>
      </c>
      <c r="W3" s="33">
        <f>Liste!E3</f>
        <v>3</v>
      </c>
      <c r="X3" s="33">
        <f>COUNTIFS(C$2:C$32,{"Pazartesi"},E$2:E$32,T(S3))</f>
        <v>1</v>
      </c>
      <c r="Y3" s="33">
        <f>COUNTIFS(C$2:C$32,{"Salı"},E$2:E$32,T(S3))</f>
        <v>0</v>
      </c>
      <c r="Z3" s="33">
        <f>COUNTIFS(C$2:C$32,{"Çarşamba"},E$2:E$32,T(S3))</f>
        <v>0</v>
      </c>
      <c r="AA3" s="33">
        <f>COUNTIFS(C$2:C$32,{"Perşembe"},E$2:E$32,T(S3))</f>
        <v>0</v>
      </c>
      <c r="AB3" s="33">
        <f>COUNTIFS(C$2:C$32,{"Cuma"},E$2:E$32,T(S3))</f>
        <v>2</v>
      </c>
      <c r="AC3" s="33">
        <f>COUNTIFS(C$2:C$32,{"Cumartesi"},E$2:E$32,T(S3))</f>
        <v>0</v>
      </c>
      <c r="AD3" s="33">
        <f>COUNTIFS(C$2:C$32,{"Pazar"},E$2:E$32,T(S3))</f>
        <v>0</v>
      </c>
      <c r="AE3" s="33">
        <f>SUM(X3:AB3)</f>
        <v>3</v>
      </c>
      <c r="AF3" s="33">
        <f>SUM(AC3,AD3)</f>
        <v>0</v>
      </c>
      <c r="AG3" s="33">
        <f>SUM(AE3:AF3)</f>
        <v>3</v>
      </c>
      <c r="AH3" s="33">
        <f>T3-AE3</f>
        <v>0</v>
      </c>
      <c r="AI3" s="33">
        <f>U3-AF3</f>
        <v>0</v>
      </c>
      <c r="BJ3" s="5">
        <v>3</v>
      </c>
    </row>
    <row r="4" spans="1:62" x14ac:dyDescent="0.25">
      <c r="A4" s="1">
        <v>3</v>
      </c>
      <c r="B4" s="12">
        <f t="shared" si="1"/>
        <v>43864</v>
      </c>
      <c r="C4" s="13" t="s">
        <v>37</v>
      </c>
      <c r="D4" s="14">
        <v>6</v>
      </c>
      <c r="E4" s="34" t="str">
        <f>IFERROR(CHOOSE(D4,Mazeret!A$2,Mazeret!A$3,Mazeret!A$4,Mazeret!A$5,Mazeret!A$6,Mazeret!A$7,Mazeret!A$8,Mazeret!A$9,Mazeret!A$10,Mazeret!A$11,Mazeret!A$12,Mazeret!A$13,Mazeret!A$14,Mazeret!A$15,Mazeret!A$16,),0)</f>
        <v>Caner</v>
      </c>
      <c r="F4" s="35">
        <f>DELTA(IFERROR(IF(E4=Mazeret!A$2,LOOKUP(A4,Mazeret!B$2:P$2),IF(E4=Mazeret!A$3,LOOKUP(A4,Mazeret!B$3:P$3),IF(E4=Mazeret!A$4,LOOKUP(A4,Mazeret!B$4:P$4),IF(E4=Mazeret!A$5,LOOKUP(A4,Mazeret!B$5:P$5),IF(E4=Mazeret!A$6,LOOKUP(A4,Mazeret!B$6:P$6),IF(E4=Mazeret!A$7,LOOKUP(A4,Mazeret!B$7:P$7),IF(E4=Mazeret!A$8,LOOKUP(A4,Mazeret!B$8:P$8),IF(E4=Mazeret!A$9,LOOKUP(A4,Mazeret!B$9:P$9),IF(E4=Mazeret!A$10,LOOKUP(A4,Mazeret!B$10:P$10),IF(E4=Mazeret!A$11,LOOKUP(A4,Mazeret!B$11:P$11),IF(E4=Mazeret!A$12,LOOKUP(A4,Mazeret!B$12:P$12),IF(E4=Mazeret!A$13,LOOKUP(A4,Mazeret!B$13:P$13),IF(E4=Mazeret!A$14,LOOKUP(A4,Mazeret!B$14:P$14),IF(E4=Mazeret!A$15,LOOKUP(A4,Mazeret!B$15:P$15),IF(E4=Mazeret!A$16,LOOKUP(A4,Mazeret!B$16:P$16)))))))))))))))),0),A4)</f>
        <v>0</v>
      </c>
      <c r="G4" s="33">
        <f t="shared" si="2"/>
        <v>0</v>
      </c>
      <c r="H4" s="33">
        <f t="shared" si="3"/>
        <v>0</v>
      </c>
      <c r="I4" s="33">
        <f t="shared" si="0"/>
        <v>0</v>
      </c>
      <c r="J4" s="36"/>
      <c r="K4" s="26"/>
      <c r="L4" s="26">
        <f t="shared" ref="L4:L31" si="5">MONTH(B4)-MONTH(B3)</f>
        <v>0</v>
      </c>
      <c r="M4" s="26">
        <f t="shared" si="4"/>
        <v>2</v>
      </c>
      <c r="N4" s="26"/>
      <c r="O4" s="26"/>
      <c r="P4" s="26"/>
      <c r="Q4" s="26"/>
      <c r="R4" s="26"/>
      <c r="S4" s="37" t="str">
        <f>Mazeret!A3</f>
        <v>Veli</v>
      </c>
      <c r="T4" s="33">
        <f>Liste!B4</f>
        <v>3</v>
      </c>
      <c r="U4" s="33">
        <f>Liste!C4</f>
        <v>0</v>
      </c>
      <c r="V4" s="33">
        <f>Liste!D4</f>
        <v>3</v>
      </c>
      <c r="W4" s="33">
        <f>Liste!E4</f>
        <v>3</v>
      </c>
      <c r="X4" s="33">
        <f>COUNTIFS(C$2:C$32,{"Pazartesi"},E$2:E$32,T(S4))</f>
        <v>0</v>
      </c>
      <c r="Y4" s="33">
        <f>COUNTIFS(C$2:C$32,{"Salı"},E$2:E$32,T(S4))</f>
        <v>1</v>
      </c>
      <c r="Z4" s="33">
        <f>COUNTIFS(C$2:C$32,{"Çarşamba"},E$2:E$32,T(S4))</f>
        <v>0</v>
      </c>
      <c r="AA4" s="33">
        <f>COUNTIFS(C$2:C$32,{"Perşembe"},E$2:E$32,T(S4))</f>
        <v>2</v>
      </c>
      <c r="AB4" s="33">
        <f>COUNTIFS(C$2:C$32,{"Cuma"},E$2:E$32,T(S4))</f>
        <v>0</v>
      </c>
      <c r="AC4" s="33">
        <f>COUNTIFS(C$2:C$32,{"Cumartesi"},E$2:E$32,T(S4))</f>
        <v>0</v>
      </c>
      <c r="AD4" s="33">
        <f>COUNTIFS(C$2:C$32,{"Pazar"},E$2:E$32,T(S4))</f>
        <v>0</v>
      </c>
      <c r="AE4" s="33">
        <f t="shared" ref="AE4:AE17" si="6">SUM(X4:AB4)</f>
        <v>3</v>
      </c>
      <c r="AF4" s="33">
        <f t="shared" ref="AF4:AF17" si="7">SUM(AC4,AD4)</f>
        <v>0</v>
      </c>
      <c r="AG4" s="33">
        <f t="shared" ref="AG4:AG17" si="8">SUM(AE4:AF4)</f>
        <v>3</v>
      </c>
      <c r="AH4" s="33">
        <f t="shared" ref="AH4:AH17" si="9">T4-AE4</f>
        <v>0</v>
      </c>
      <c r="AI4" s="33">
        <f t="shared" ref="AI4:AI17" si="10">U4-AF4</f>
        <v>0</v>
      </c>
      <c r="BJ4" s="5">
        <v>4</v>
      </c>
    </row>
    <row r="5" spans="1:62" x14ac:dyDescent="0.25">
      <c r="A5" s="1">
        <v>4</v>
      </c>
      <c r="B5" s="12">
        <f t="shared" si="1"/>
        <v>43865</v>
      </c>
      <c r="C5" s="13" t="s">
        <v>38</v>
      </c>
      <c r="D5" s="14">
        <v>3</v>
      </c>
      <c r="E5" s="34" t="str">
        <f>IFERROR(CHOOSE(D5,Mazeret!A$2,Mazeret!A$3,Mazeret!A$4,Mazeret!A$5,Mazeret!A$6,Mazeret!A$7,Mazeret!A$8,Mazeret!A$9,Mazeret!A$10,Mazeret!A$11,Mazeret!A$12,Mazeret!A$13,Mazeret!A$14,Mazeret!A$15,Mazeret!A$16,),0)</f>
        <v>Can</v>
      </c>
      <c r="F5" s="35">
        <f>DELTA(IFERROR(IF(E5=Mazeret!A$2,LOOKUP(A5,Mazeret!B$2:P$2),IF(E5=Mazeret!A$3,LOOKUP(A5,Mazeret!B$3:P$3),IF(E5=Mazeret!A$4,LOOKUP(A5,Mazeret!B$4:P$4),IF(E5=Mazeret!A$5,LOOKUP(A5,Mazeret!B$5:P$5),IF(E5=Mazeret!A$6,LOOKUP(A5,Mazeret!B$6:P$6),IF(E5=Mazeret!A$7,LOOKUP(A5,Mazeret!B$7:P$7),IF(E5=Mazeret!A$8,LOOKUP(A5,Mazeret!B$8:P$8),IF(E5=Mazeret!A$9,LOOKUP(A5,Mazeret!B$9:P$9),IF(E5=Mazeret!A$10,LOOKUP(A5,Mazeret!B$10:P$10),IF(E5=Mazeret!A$11,LOOKUP(A5,Mazeret!B$11:P$11),IF(E5=Mazeret!A$12,LOOKUP(A5,Mazeret!B$12:P$12),IF(E5=Mazeret!A$13,LOOKUP(A5,Mazeret!B$13:P$13),IF(E5=Mazeret!A$14,LOOKUP(A5,Mazeret!B$14:P$14),IF(E5=Mazeret!A$15,LOOKUP(A5,Mazeret!B$15:P$15),IF(E5=Mazeret!A$16,LOOKUP(A5,Mazeret!B$16:P$16)))))))))))))))),0),A5)</f>
        <v>0</v>
      </c>
      <c r="G5" s="33">
        <f t="shared" si="2"/>
        <v>0</v>
      </c>
      <c r="H5" s="33">
        <f t="shared" si="3"/>
        <v>0</v>
      </c>
      <c r="I5" s="33">
        <f t="shared" si="0"/>
        <v>0</v>
      </c>
      <c r="J5" s="36"/>
      <c r="K5" s="26"/>
      <c r="L5" s="26">
        <f t="shared" si="5"/>
        <v>0</v>
      </c>
      <c r="M5" s="26">
        <f t="shared" si="4"/>
        <v>2</v>
      </c>
      <c r="N5" s="26"/>
      <c r="O5" s="26"/>
      <c r="P5" s="26"/>
      <c r="Q5" s="26"/>
      <c r="R5" s="26"/>
      <c r="S5" s="37" t="str">
        <f>Mazeret!A4</f>
        <v>Can</v>
      </c>
      <c r="T5" s="33">
        <f>Liste!B5</f>
        <v>3</v>
      </c>
      <c r="U5" s="33">
        <f>Liste!C5</f>
        <v>1</v>
      </c>
      <c r="V5" s="33">
        <f>Liste!D5</f>
        <v>4</v>
      </c>
      <c r="W5" s="33">
        <f>Liste!E5</f>
        <v>4</v>
      </c>
      <c r="X5" s="33">
        <f>COUNTIFS(C$2:C$32,{"Pazartesi"},E$2:E$32,T(S5))</f>
        <v>0</v>
      </c>
      <c r="Y5" s="33">
        <f>COUNTIFS(C$2:C$32,{"Salı"},E$2:E$32,T(S5))</f>
        <v>0</v>
      </c>
      <c r="Z5" s="33">
        <f>COUNTIFS(C$2:C$32,{"Çarşamba"},E$2:E$32,T(S5))</f>
        <v>1</v>
      </c>
      <c r="AA5" s="33">
        <f>COUNTIFS(C$2:C$32,{"Perşembe"},E$2:E$32,T(S5))</f>
        <v>1</v>
      </c>
      <c r="AB5" s="33">
        <f>COUNTIFS(C$2:C$32,{"Cuma"},E$2:E$32,T(S5))</f>
        <v>1</v>
      </c>
      <c r="AC5" s="33">
        <f>COUNTIFS(C$2:C$32,{"Cumartesi"},E$2:E$32,T(S5))</f>
        <v>0</v>
      </c>
      <c r="AD5" s="33">
        <f>COUNTIFS(C$2:C$32,{"Pazar"},E$2:E$32,T(S5))</f>
        <v>1</v>
      </c>
      <c r="AE5" s="33">
        <f t="shared" si="6"/>
        <v>3</v>
      </c>
      <c r="AF5" s="33">
        <f t="shared" si="7"/>
        <v>1</v>
      </c>
      <c r="AG5" s="33">
        <f t="shared" si="8"/>
        <v>4</v>
      </c>
      <c r="AH5" s="33">
        <f t="shared" si="9"/>
        <v>0</v>
      </c>
      <c r="AI5" s="33">
        <f t="shared" si="10"/>
        <v>0</v>
      </c>
      <c r="BJ5" s="5">
        <v>5</v>
      </c>
    </row>
    <row r="6" spans="1:62" x14ac:dyDescent="0.25">
      <c r="A6" s="1">
        <v>5</v>
      </c>
      <c r="B6" s="12">
        <f t="shared" si="1"/>
        <v>43866</v>
      </c>
      <c r="C6" s="13" t="s">
        <v>39</v>
      </c>
      <c r="D6" s="14">
        <v>9</v>
      </c>
      <c r="E6" s="34" t="str">
        <f>IFERROR(CHOOSE(D6,Mazeret!A$2,Mazeret!A$3,Mazeret!A$4,Mazeret!A$5,Mazeret!A$6,Mazeret!A$7,Mazeret!A$8,Mazeret!A$9,Mazeret!A$10,Mazeret!A$11,Mazeret!A$12,Mazeret!A$13,Mazeret!A$14,Mazeret!A$15,Mazeret!A$16,),0)</f>
        <v>Merter</v>
      </c>
      <c r="F6" s="35">
        <f>DELTA(IFERROR(IF(E6=Mazeret!A$2,LOOKUP(A6,Mazeret!B$2:P$2),IF(E6=Mazeret!A$3,LOOKUP(A6,Mazeret!B$3:P$3),IF(E6=Mazeret!A$4,LOOKUP(A6,Mazeret!B$4:P$4),IF(E6=Mazeret!A$5,LOOKUP(A6,Mazeret!B$5:P$5),IF(E6=Mazeret!A$6,LOOKUP(A6,Mazeret!B$6:P$6),IF(E6=Mazeret!A$7,LOOKUP(A6,Mazeret!B$7:P$7),IF(E6=Mazeret!A$8,LOOKUP(A6,Mazeret!B$8:P$8),IF(E6=Mazeret!A$9,LOOKUP(A6,Mazeret!B$9:P$9),IF(E6=Mazeret!A$10,LOOKUP(A6,Mazeret!B$10:P$10),IF(E6=Mazeret!A$11,LOOKUP(A6,Mazeret!B$11:P$11),IF(E6=Mazeret!A$12,LOOKUP(A6,Mazeret!B$12:P$12),IF(E6=Mazeret!A$13,LOOKUP(A6,Mazeret!B$13:P$13),IF(E6=Mazeret!A$14,LOOKUP(A6,Mazeret!B$14:P$14),IF(E6=Mazeret!A$15,LOOKUP(A6,Mazeret!B$15:P$15),IF(E6=Mazeret!A$16,LOOKUP(A6,Mazeret!B$16:P$16)))))))))))))))),0),A6)</f>
        <v>0</v>
      </c>
      <c r="G6" s="33">
        <f t="shared" si="2"/>
        <v>0</v>
      </c>
      <c r="H6" s="33">
        <f t="shared" si="3"/>
        <v>0</v>
      </c>
      <c r="I6" s="33">
        <f t="shared" si="0"/>
        <v>0</v>
      </c>
      <c r="J6" s="36"/>
      <c r="K6" s="26"/>
      <c r="L6" s="26">
        <f t="shared" si="5"/>
        <v>0</v>
      </c>
      <c r="M6" s="26">
        <f t="shared" si="4"/>
        <v>2</v>
      </c>
      <c r="N6" s="26"/>
      <c r="O6" s="26"/>
      <c r="P6" s="26"/>
      <c r="Q6" s="26"/>
      <c r="R6" s="26"/>
      <c r="S6" s="37" t="str">
        <f>Mazeret!A5</f>
        <v>Deniz</v>
      </c>
      <c r="T6" s="33">
        <f>Liste!B6</f>
        <v>3</v>
      </c>
      <c r="U6" s="33">
        <f>Liste!C6</f>
        <v>1</v>
      </c>
      <c r="V6" s="33">
        <f>Liste!D6</f>
        <v>4</v>
      </c>
      <c r="W6" s="33">
        <f>Liste!E6</f>
        <v>4</v>
      </c>
      <c r="X6" s="33">
        <f>COUNTIFS(C$2:C$32,{"Pazartesi"},E$2:E$32,T(S6))</f>
        <v>0</v>
      </c>
      <c r="Y6" s="33">
        <f>COUNTIFS(C$2:C$32,{"Salı"},E$2:E$32,T(S6))</f>
        <v>1</v>
      </c>
      <c r="Z6" s="33">
        <f>COUNTIFS(C$2:C$32,{"Çarşamba"},E$2:E$32,T(S6))</f>
        <v>1</v>
      </c>
      <c r="AA6" s="33">
        <f>COUNTIFS(C$2:C$32,{"Perşembe"},E$2:E$32,T(S6))</f>
        <v>1</v>
      </c>
      <c r="AB6" s="33">
        <f>COUNTIFS(C$2:C$32,{"Cuma"},E$2:E$32,T(S6))</f>
        <v>0</v>
      </c>
      <c r="AC6" s="33">
        <f>COUNTIFS(C$2:C$32,{"Cumartesi"},E$2:E$32,T(S6))</f>
        <v>1</v>
      </c>
      <c r="AD6" s="33">
        <f>COUNTIFS(C$2:C$32,{"Pazar"},E$2:E$32,T(S6))</f>
        <v>0</v>
      </c>
      <c r="AE6" s="33">
        <f t="shared" si="6"/>
        <v>3</v>
      </c>
      <c r="AF6" s="33">
        <f t="shared" si="7"/>
        <v>1</v>
      </c>
      <c r="AG6" s="33">
        <f t="shared" si="8"/>
        <v>4</v>
      </c>
      <c r="AH6" s="33">
        <f t="shared" si="9"/>
        <v>0</v>
      </c>
      <c r="AI6" s="33">
        <f t="shared" si="10"/>
        <v>0</v>
      </c>
      <c r="BJ6" s="5">
        <v>6</v>
      </c>
    </row>
    <row r="7" spans="1:62" x14ac:dyDescent="0.25">
      <c r="A7" s="1">
        <v>6</v>
      </c>
      <c r="B7" s="12">
        <f t="shared" si="1"/>
        <v>43867</v>
      </c>
      <c r="C7" s="13" t="s">
        <v>40</v>
      </c>
      <c r="D7" s="14">
        <v>7</v>
      </c>
      <c r="E7" s="34" t="str">
        <f>IFERROR(CHOOSE(D7,Mazeret!A$2,Mazeret!A$3,Mazeret!A$4,Mazeret!A$5,Mazeret!A$6,Mazeret!A$7,Mazeret!A$8,Mazeret!A$9,Mazeret!A$10,Mazeret!A$11,Mazeret!A$12,Mazeret!A$13,Mazeret!A$14,Mazeret!A$15,Mazeret!A$16,),0)</f>
        <v>Ahmet</v>
      </c>
      <c r="F7" s="35">
        <f>DELTA(IFERROR(IF(E7=Mazeret!A$2,LOOKUP(A7,Mazeret!B$2:P$2),IF(E7=Mazeret!A$3,LOOKUP(A7,Mazeret!B$3:P$3),IF(E7=Mazeret!A$4,LOOKUP(A7,Mazeret!B$4:P$4),IF(E7=Mazeret!A$5,LOOKUP(A7,Mazeret!B$5:P$5),IF(E7=Mazeret!A$6,LOOKUP(A7,Mazeret!B$6:P$6),IF(E7=Mazeret!A$7,LOOKUP(A7,Mazeret!B$7:P$7),IF(E7=Mazeret!A$8,LOOKUP(A7,Mazeret!B$8:P$8),IF(E7=Mazeret!A$9,LOOKUP(A7,Mazeret!B$9:P$9),IF(E7=Mazeret!A$10,LOOKUP(A7,Mazeret!B$10:P$10),IF(E7=Mazeret!A$11,LOOKUP(A7,Mazeret!B$11:P$11),IF(E7=Mazeret!A$12,LOOKUP(A7,Mazeret!B$12:P$12),IF(E7=Mazeret!A$13,LOOKUP(A7,Mazeret!B$13:P$13),IF(E7=Mazeret!A$14,LOOKUP(A7,Mazeret!B$14:P$14),IF(E7=Mazeret!A$15,LOOKUP(A7,Mazeret!B$15:P$15),IF(E7=Mazeret!A$16,LOOKUP(A7,Mazeret!B$16:P$16)))))))))))))))),0),A7)</f>
        <v>0</v>
      </c>
      <c r="G7" s="33">
        <f t="shared" si="2"/>
        <v>0</v>
      </c>
      <c r="H7" s="33">
        <f t="shared" si="3"/>
        <v>0</v>
      </c>
      <c r="I7" s="33">
        <f t="shared" si="0"/>
        <v>0</v>
      </c>
      <c r="J7" s="36"/>
      <c r="K7" s="26"/>
      <c r="L7" s="26">
        <f t="shared" si="5"/>
        <v>0</v>
      </c>
      <c r="M7" s="26">
        <f t="shared" si="4"/>
        <v>2</v>
      </c>
      <c r="N7" s="26"/>
      <c r="O7" s="26"/>
      <c r="P7" s="26"/>
      <c r="Q7" s="26"/>
      <c r="R7" s="26"/>
      <c r="S7" s="37" t="str">
        <f>Mazeret!A6</f>
        <v>Eyşan</v>
      </c>
      <c r="T7" s="33">
        <f>Liste!B7</f>
        <v>3</v>
      </c>
      <c r="U7" s="33">
        <f>Liste!C7</f>
        <v>1</v>
      </c>
      <c r="V7" s="33">
        <f>Liste!D7</f>
        <v>4</v>
      </c>
      <c r="W7" s="33">
        <f>Liste!E7</f>
        <v>4</v>
      </c>
      <c r="X7" s="33">
        <f>COUNTIFS(C$2:C$32,{"Pazartesi"},E$2:E$32,T(S7))</f>
        <v>0</v>
      </c>
      <c r="Y7" s="33">
        <f>COUNTIFS(C$2:C$32,{"Salı"},E$2:E$32,T(S7))</f>
        <v>0</v>
      </c>
      <c r="Z7" s="33">
        <f>COUNTIFS(C$2:C$32,{"Çarşamba"},E$2:E$32,T(S7))</f>
        <v>2</v>
      </c>
      <c r="AA7" s="33">
        <f>COUNTIFS(C$2:C$32,{"Perşembe"},E$2:E$32,T(S7))</f>
        <v>0</v>
      </c>
      <c r="AB7" s="33">
        <f>COUNTIFS(C$2:C$32,{"Cuma"},E$2:E$32,T(S7))</f>
        <v>1</v>
      </c>
      <c r="AC7" s="33">
        <f>COUNTIFS(C$2:C$32,{"Cumartesi"},E$2:E$32,T(S7))</f>
        <v>0</v>
      </c>
      <c r="AD7" s="33">
        <f>COUNTIFS(C$2:C$32,{"Pazar"},E$2:E$32,T(S7))</f>
        <v>1</v>
      </c>
      <c r="AE7" s="33">
        <f t="shared" si="6"/>
        <v>3</v>
      </c>
      <c r="AF7" s="33">
        <f t="shared" si="7"/>
        <v>1</v>
      </c>
      <c r="AG7" s="33">
        <f t="shared" si="8"/>
        <v>4</v>
      </c>
      <c r="AH7" s="33">
        <f t="shared" si="9"/>
        <v>0</v>
      </c>
      <c r="AI7" s="33">
        <f t="shared" si="10"/>
        <v>0</v>
      </c>
      <c r="BJ7" s="5">
        <v>7</v>
      </c>
    </row>
    <row r="8" spans="1:62" x14ac:dyDescent="0.25">
      <c r="A8" s="1">
        <v>7</v>
      </c>
      <c r="B8" s="12">
        <f t="shared" si="1"/>
        <v>43868</v>
      </c>
      <c r="C8" s="13" t="s">
        <v>41</v>
      </c>
      <c r="D8" s="14">
        <v>5</v>
      </c>
      <c r="E8" s="34" t="str">
        <f>IFERROR(CHOOSE(D8,Mazeret!A$2,Mazeret!A$3,Mazeret!A$4,Mazeret!A$5,Mazeret!A$6,Mazeret!A$7,Mazeret!A$8,Mazeret!A$9,Mazeret!A$10,Mazeret!A$11,Mazeret!A$12,Mazeret!A$13,Mazeret!A$14,Mazeret!A$15,Mazeret!A$16,),0)</f>
        <v>Eyşan</v>
      </c>
      <c r="F8" s="35">
        <f>DELTA(IFERROR(IF(E8=Mazeret!A$2,LOOKUP(A8,Mazeret!B$2:P$2),IF(E8=Mazeret!A$3,LOOKUP(A8,Mazeret!B$3:P$3),IF(E8=Mazeret!A$4,LOOKUP(A8,Mazeret!B$4:P$4),IF(E8=Mazeret!A$5,LOOKUP(A8,Mazeret!B$5:P$5),IF(E8=Mazeret!A$6,LOOKUP(A8,Mazeret!B$6:P$6),IF(E8=Mazeret!A$7,LOOKUP(A8,Mazeret!B$7:P$7),IF(E8=Mazeret!A$8,LOOKUP(A8,Mazeret!B$8:P$8),IF(E8=Mazeret!A$9,LOOKUP(A8,Mazeret!B$9:P$9),IF(E8=Mazeret!A$10,LOOKUP(A8,Mazeret!B$10:P$10),IF(E8=Mazeret!A$11,LOOKUP(A8,Mazeret!B$11:P$11),IF(E8=Mazeret!A$12,LOOKUP(A8,Mazeret!B$12:P$12),IF(E8=Mazeret!A$13,LOOKUP(A8,Mazeret!B$13:P$13),IF(E8=Mazeret!A$14,LOOKUP(A8,Mazeret!B$14:P$14),IF(E8=Mazeret!A$15,LOOKUP(A8,Mazeret!B$15:P$15),IF(E8=Mazeret!A$16,LOOKUP(A8,Mazeret!B$16:P$16)))))))))))))))),0),A8)</f>
        <v>0</v>
      </c>
      <c r="G8" s="33">
        <f t="shared" si="2"/>
        <v>0</v>
      </c>
      <c r="H8" s="33">
        <f t="shared" si="3"/>
        <v>0</v>
      </c>
      <c r="I8" s="33">
        <f t="shared" si="0"/>
        <v>0</v>
      </c>
      <c r="J8" s="36"/>
      <c r="K8" s="26"/>
      <c r="L8" s="26">
        <f t="shared" si="5"/>
        <v>0</v>
      </c>
      <c r="M8" s="26">
        <f t="shared" si="4"/>
        <v>2</v>
      </c>
      <c r="N8" s="26"/>
      <c r="O8" s="26"/>
      <c r="P8" s="26"/>
      <c r="Q8" s="26"/>
      <c r="R8" s="26"/>
      <c r="S8" s="37" t="str">
        <f>Mazeret!A7</f>
        <v>Caner</v>
      </c>
      <c r="T8" s="33">
        <f>Liste!B8</f>
        <v>1</v>
      </c>
      <c r="U8" s="33">
        <f>Liste!C8</f>
        <v>1</v>
      </c>
      <c r="V8" s="33">
        <f>Liste!D8</f>
        <v>2</v>
      </c>
      <c r="W8" s="33">
        <f>Liste!E8</f>
        <v>2</v>
      </c>
      <c r="X8" s="33">
        <f>COUNTIFS(C$2:C$32,{"Pazartesi"},E$2:E$32,T(S8))</f>
        <v>1</v>
      </c>
      <c r="Y8" s="33">
        <f>COUNTIFS(C$2:C$32,{"Salı"},E$2:E$32,T(S8))</f>
        <v>0</v>
      </c>
      <c r="Z8" s="33">
        <f>COUNTIFS(C$2:C$32,{"Çarşamba"},E$2:E$32,T(S8))</f>
        <v>0</v>
      </c>
      <c r="AA8" s="33">
        <f>COUNTIFS(C$2:C$32,{"Perşembe"},E$2:E$32,T(S8))</f>
        <v>0</v>
      </c>
      <c r="AB8" s="33">
        <f>COUNTIFS(C$2:C$32,{"Cuma"},E$2:E$32,T(S8))</f>
        <v>0</v>
      </c>
      <c r="AC8" s="33">
        <f>COUNTIFS(C$2:C$32,{"Cumartesi"},E$2:E$32,T(S8))</f>
        <v>1</v>
      </c>
      <c r="AD8" s="33">
        <f>COUNTIFS(C$2:C$32,{"Pazar"},E$2:E$32,T(S8))</f>
        <v>0</v>
      </c>
      <c r="AE8" s="33">
        <f t="shared" si="6"/>
        <v>1</v>
      </c>
      <c r="AF8" s="33">
        <f t="shared" si="7"/>
        <v>1</v>
      </c>
      <c r="AG8" s="33">
        <f t="shared" si="8"/>
        <v>2</v>
      </c>
      <c r="AH8" s="33">
        <f t="shared" si="9"/>
        <v>0</v>
      </c>
      <c r="AI8" s="33">
        <f t="shared" si="10"/>
        <v>0</v>
      </c>
      <c r="BJ8" s="5">
        <v>8</v>
      </c>
    </row>
    <row r="9" spans="1:62" x14ac:dyDescent="0.25">
      <c r="A9" s="1">
        <v>8</v>
      </c>
      <c r="B9" s="12">
        <f t="shared" si="1"/>
        <v>43869</v>
      </c>
      <c r="C9" s="13" t="s">
        <v>35</v>
      </c>
      <c r="D9" s="14">
        <v>2</v>
      </c>
      <c r="E9" s="34" t="str">
        <f>IFERROR(CHOOSE(D9,Mazeret!A$2,Mazeret!A$3,Mazeret!A$4,Mazeret!A$5,Mazeret!A$6,Mazeret!A$7,Mazeret!A$8,Mazeret!A$9,Mazeret!A$10,Mazeret!A$11,Mazeret!A$12,Mazeret!A$13,Mazeret!A$14,Mazeret!A$15,Mazeret!A$16,),0)</f>
        <v>Veli</v>
      </c>
      <c r="F9" s="35">
        <f>DELTA(IFERROR(IF(E9=Mazeret!A$2,LOOKUP(A9,Mazeret!B$2:P$2),IF(E9=Mazeret!A$3,LOOKUP(A9,Mazeret!B$3:P$3),IF(E9=Mazeret!A$4,LOOKUP(A9,Mazeret!B$4:P$4),IF(E9=Mazeret!A$5,LOOKUP(A9,Mazeret!B$5:P$5),IF(E9=Mazeret!A$6,LOOKUP(A9,Mazeret!B$6:P$6),IF(E9=Mazeret!A$7,LOOKUP(A9,Mazeret!B$7:P$7),IF(E9=Mazeret!A$8,LOOKUP(A9,Mazeret!B$8:P$8),IF(E9=Mazeret!A$9,LOOKUP(A9,Mazeret!B$9:P$9),IF(E9=Mazeret!A$10,LOOKUP(A9,Mazeret!B$10:P$10),IF(E9=Mazeret!A$11,LOOKUP(A9,Mazeret!B$11:P$11),IF(E9=Mazeret!A$12,LOOKUP(A9,Mazeret!B$12:P$12),IF(E9=Mazeret!A$13,LOOKUP(A9,Mazeret!B$13:P$13),IF(E9=Mazeret!A$14,LOOKUP(A9,Mazeret!B$14:P$14),IF(E9=Mazeret!A$15,LOOKUP(A9,Mazeret!B$15:P$15),IF(E9=Mazeret!A$16,LOOKUP(A9,Mazeret!B$16:P$16)))))))))))))))),0),A9)</f>
        <v>0</v>
      </c>
      <c r="G9" s="33">
        <f t="shared" si="2"/>
        <v>0</v>
      </c>
      <c r="H9" s="33">
        <f t="shared" si="3"/>
        <v>0</v>
      </c>
      <c r="I9" s="33">
        <f t="shared" si="0"/>
        <v>0</v>
      </c>
      <c r="J9" s="36"/>
      <c r="K9" s="26"/>
      <c r="L9" s="26">
        <f t="shared" si="5"/>
        <v>0</v>
      </c>
      <c r="M9" s="26">
        <f t="shared" si="4"/>
        <v>2</v>
      </c>
      <c r="N9" s="26"/>
      <c r="O9" s="26"/>
      <c r="P9" s="26"/>
      <c r="Q9" s="26"/>
      <c r="R9" s="26"/>
      <c r="S9" s="37" t="str">
        <f>Mazeret!A8</f>
        <v>Ahmet</v>
      </c>
      <c r="T9" s="33">
        <f>Liste!B9</f>
        <v>1</v>
      </c>
      <c r="U9" s="33">
        <f>Liste!C9</f>
        <v>1</v>
      </c>
      <c r="V9" s="33">
        <f>Liste!D9</f>
        <v>2</v>
      </c>
      <c r="W9" s="33">
        <f>Liste!E9</f>
        <v>2</v>
      </c>
      <c r="X9" s="33">
        <f>COUNTIFS(C$2:C$32,{"Pazartesi"},E$2:E$32,T(S9))</f>
        <v>0</v>
      </c>
      <c r="Y9" s="33">
        <f>COUNTIFS(C$2:C$32,{"Salı"},E$2:E$32,T(S9))</f>
        <v>1</v>
      </c>
      <c r="Z9" s="33">
        <f>COUNTIFS(C$2:C$32,{"Çarşamba"},E$2:E$32,T(S9))</f>
        <v>0</v>
      </c>
      <c r="AA9" s="33">
        <f>COUNTIFS(C$2:C$32,{"Perşembe"},E$2:E$32,T(S9))</f>
        <v>0</v>
      </c>
      <c r="AB9" s="33">
        <f>COUNTIFS(C$2:C$32,{"Cuma"},E$2:E$32,T(S9))</f>
        <v>0</v>
      </c>
      <c r="AC9" s="33">
        <f>COUNTIFS(C$2:C$32,{"Cumartesi"},E$2:E$32,T(S9))</f>
        <v>0</v>
      </c>
      <c r="AD9" s="33">
        <f>COUNTIFS(C$2:C$32,{"Pazar"},E$2:E$32,T(S9))</f>
        <v>1</v>
      </c>
      <c r="AE9" s="33">
        <f t="shared" si="6"/>
        <v>1</v>
      </c>
      <c r="AF9" s="33">
        <f t="shared" si="7"/>
        <v>1</v>
      </c>
      <c r="AG9" s="33">
        <f t="shared" si="8"/>
        <v>2</v>
      </c>
      <c r="AH9" s="33">
        <f t="shared" si="9"/>
        <v>0</v>
      </c>
      <c r="AI9" s="33">
        <f t="shared" si="10"/>
        <v>0</v>
      </c>
      <c r="BJ9" s="5">
        <v>9</v>
      </c>
    </row>
    <row r="10" spans="1:62" x14ac:dyDescent="0.25">
      <c r="A10" s="1">
        <v>9</v>
      </c>
      <c r="B10" s="12">
        <f t="shared" si="1"/>
        <v>43870</v>
      </c>
      <c r="C10" s="13" t="s">
        <v>36</v>
      </c>
      <c r="D10" s="14">
        <v>1</v>
      </c>
      <c r="E10" s="34" t="str">
        <f>IFERROR(CHOOSE(D10,Mazeret!A$2,Mazeret!A$3,Mazeret!A$4,Mazeret!A$5,Mazeret!A$6,Mazeret!A$7,Mazeret!A$8,Mazeret!A$9,Mazeret!A$10,Mazeret!A$11,Mazeret!A$12,Mazeret!A$13,Mazeret!A$14,Mazeret!A$15,Mazeret!A$16,),0)</f>
        <v>Ali</v>
      </c>
      <c r="F10" s="35">
        <f>DELTA(IFERROR(IF(E10=Mazeret!A$2,LOOKUP(A10,Mazeret!B$2:P$2),IF(E10=Mazeret!A$3,LOOKUP(A10,Mazeret!B$3:P$3),IF(E10=Mazeret!A$4,LOOKUP(A10,Mazeret!B$4:P$4),IF(E10=Mazeret!A$5,LOOKUP(A10,Mazeret!B$5:P$5),IF(E10=Mazeret!A$6,LOOKUP(A10,Mazeret!B$6:P$6),IF(E10=Mazeret!A$7,LOOKUP(A10,Mazeret!B$7:P$7),IF(E10=Mazeret!A$8,LOOKUP(A10,Mazeret!B$8:P$8),IF(E10=Mazeret!A$9,LOOKUP(A10,Mazeret!B$9:P$9),IF(E10=Mazeret!A$10,LOOKUP(A10,Mazeret!B$10:P$10),IF(E10=Mazeret!A$11,LOOKUP(A10,Mazeret!B$11:P$11),IF(E10=Mazeret!A$12,LOOKUP(A10,Mazeret!B$12:P$12),IF(E10=Mazeret!A$13,LOOKUP(A10,Mazeret!B$13:P$13),IF(E10=Mazeret!A$14,LOOKUP(A10,Mazeret!B$14:P$14),IF(E10=Mazeret!A$15,LOOKUP(A10,Mazeret!B$15:P$15),IF(E10=Mazeret!A$16,LOOKUP(A10,Mazeret!B$16:P$16)))))))))))))))),0),A10)</f>
        <v>0</v>
      </c>
      <c r="G10" s="33">
        <f t="shared" si="2"/>
        <v>0</v>
      </c>
      <c r="H10" s="33">
        <f t="shared" si="3"/>
        <v>0</v>
      </c>
      <c r="I10" s="33">
        <f t="shared" si="0"/>
        <v>0</v>
      </c>
      <c r="J10" s="36"/>
      <c r="K10" s="26"/>
      <c r="L10" s="26">
        <f t="shared" si="5"/>
        <v>0</v>
      </c>
      <c r="M10" s="26">
        <f t="shared" si="4"/>
        <v>2</v>
      </c>
      <c r="N10" s="26"/>
      <c r="O10" s="26"/>
      <c r="P10" s="26"/>
      <c r="Q10" s="26"/>
      <c r="R10" s="26"/>
      <c r="S10" s="37" t="str">
        <f>Mazeret!A9</f>
        <v>Mehmet</v>
      </c>
      <c r="T10" s="33">
        <f>Liste!B10</f>
        <v>1</v>
      </c>
      <c r="U10" s="33">
        <f>Liste!C10</f>
        <v>1</v>
      </c>
      <c r="V10" s="33">
        <f>Liste!D10</f>
        <v>2</v>
      </c>
      <c r="W10" s="33">
        <f>Liste!E10</f>
        <v>2</v>
      </c>
      <c r="X10" s="33">
        <f>COUNTIFS(C$2:C$32,{"Pazartesi"},E$2:E$32,T(S10))</f>
        <v>1</v>
      </c>
      <c r="Y10" s="33">
        <f>COUNTIFS(C$2:C$32,{"Salı"},E$2:E$32,T(S10))</f>
        <v>0</v>
      </c>
      <c r="Z10" s="33">
        <f>COUNTIFS(C$2:C$32,{"Çarşamba"},E$2:E$32,T(S10))</f>
        <v>0</v>
      </c>
      <c r="AA10" s="33">
        <f>COUNTIFS(C$2:C$32,{"Perşembe"},E$2:E$32,T(S10))</f>
        <v>0</v>
      </c>
      <c r="AB10" s="33">
        <f>COUNTIFS(C$2:C$32,{"Cuma"},E$2:E$32,T(S10))</f>
        <v>0</v>
      </c>
      <c r="AC10" s="33">
        <f>COUNTIFS(C$2:C$32,{"Cumartesi"},E$2:E$32,T(S10))</f>
        <v>1</v>
      </c>
      <c r="AD10" s="33">
        <f>COUNTIFS(C$2:C$32,{"Pazar"},E$2:E$32,T(S10))</f>
        <v>0</v>
      </c>
      <c r="AE10" s="33">
        <f t="shared" si="6"/>
        <v>1</v>
      </c>
      <c r="AF10" s="33">
        <f t="shared" si="7"/>
        <v>1</v>
      </c>
      <c r="AG10" s="33">
        <f t="shared" si="8"/>
        <v>2</v>
      </c>
      <c r="AH10" s="33">
        <f t="shared" si="9"/>
        <v>0</v>
      </c>
      <c r="AI10" s="33">
        <f t="shared" si="10"/>
        <v>0</v>
      </c>
      <c r="BJ10" s="5">
        <v>10</v>
      </c>
    </row>
    <row r="11" spans="1:62" x14ac:dyDescent="0.25">
      <c r="A11" s="1">
        <v>10</v>
      </c>
      <c r="B11" s="12">
        <f t="shared" si="1"/>
        <v>43871</v>
      </c>
      <c r="C11" s="13" t="s">
        <v>37</v>
      </c>
      <c r="D11" s="14">
        <v>4</v>
      </c>
      <c r="E11" s="34" t="str">
        <f>IFERROR(CHOOSE(D11,Mazeret!A$2,Mazeret!A$3,Mazeret!A$4,Mazeret!A$5,Mazeret!A$6,Mazeret!A$7,Mazeret!A$8,Mazeret!A$9,Mazeret!A$10,Mazeret!A$11,Mazeret!A$12,Mazeret!A$13,Mazeret!A$14,Mazeret!A$15,Mazeret!A$16,),0)</f>
        <v>Deniz</v>
      </c>
      <c r="F11" s="35">
        <f>DELTA(IFERROR(IF(E11=Mazeret!A$2,LOOKUP(A11,Mazeret!B$2:P$2),IF(E11=Mazeret!A$3,LOOKUP(A11,Mazeret!B$3:P$3),IF(E11=Mazeret!A$4,LOOKUP(A11,Mazeret!B$4:P$4),IF(E11=Mazeret!A$5,LOOKUP(A11,Mazeret!B$5:P$5),IF(E11=Mazeret!A$6,LOOKUP(A11,Mazeret!B$6:P$6),IF(E11=Mazeret!A$7,LOOKUP(A11,Mazeret!B$7:P$7),IF(E11=Mazeret!A$8,LOOKUP(A11,Mazeret!B$8:P$8),IF(E11=Mazeret!A$9,LOOKUP(A11,Mazeret!B$9:P$9),IF(E11=Mazeret!A$10,LOOKUP(A11,Mazeret!B$10:P$10),IF(E11=Mazeret!A$11,LOOKUP(A11,Mazeret!B$11:P$11),IF(E11=Mazeret!A$12,LOOKUP(A11,Mazeret!B$12:P$12),IF(E11=Mazeret!A$13,LOOKUP(A11,Mazeret!B$13:P$13),IF(E11=Mazeret!A$14,LOOKUP(A11,Mazeret!B$14:P$14),IF(E11=Mazeret!A$15,LOOKUP(A11,Mazeret!B$15:P$15),IF(E11=Mazeret!A$16,LOOKUP(A11,Mazeret!B$16:P$16)))))))))))))))),0),A11)</f>
        <v>0</v>
      </c>
      <c r="G11" s="33">
        <f t="shared" si="2"/>
        <v>0</v>
      </c>
      <c r="H11" s="33">
        <f t="shared" si="3"/>
        <v>0</v>
      </c>
      <c r="I11" s="33">
        <f t="shared" si="0"/>
        <v>0</v>
      </c>
      <c r="J11" s="36"/>
      <c r="K11" s="26"/>
      <c r="L11" s="26">
        <f t="shared" si="5"/>
        <v>0</v>
      </c>
      <c r="M11" s="26">
        <f t="shared" si="4"/>
        <v>2</v>
      </c>
      <c r="N11" s="26"/>
      <c r="O11" s="26"/>
      <c r="P11" s="26"/>
      <c r="Q11" s="26"/>
      <c r="R11" s="26"/>
      <c r="S11" s="37" t="str">
        <f>Mazeret!A10</f>
        <v>Merter</v>
      </c>
      <c r="T11" s="33">
        <f>Liste!B11</f>
        <v>1</v>
      </c>
      <c r="U11" s="33">
        <f>Liste!C11</f>
        <v>1</v>
      </c>
      <c r="V11" s="33">
        <f>Liste!D11</f>
        <v>2</v>
      </c>
      <c r="W11" s="33">
        <f>Liste!E11</f>
        <v>2</v>
      </c>
      <c r="X11" s="33">
        <f>COUNTIFS(C$2:C$32,{"Pazartesi"},E$2:E$32,T(S11))</f>
        <v>1</v>
      </c>
      <c r="Y11" s="33">
        <f>COUNTIFS(C$2:C$32,{"Salı"},E$2:E$32,T(S11))</f>
        <v>0</v>
      </c>
      <c r="Z11" s="33">
        <f>COUNTIFS(C$2:C$32,{"Çarşamba"},E$2:E$32,T(S11))</f>
        <v>0</v>
      </c>
      <c r="AA11" s="33">
        <f>COUNTIFS(C$2:C$32,{"Perşembe"},E$2:E$32,T(S11))</f>
        <v>0</v>
      </c>
      <c r="AB11" s="33">
        <f>COUNTIFS(C$2:C$32,{"Cuma"},E$2:E$32,T(S11))</f>
        <v>0</v>
      </c>
      <c r="AC11" s="33">
        <f>COUNTIFS(C$2:C$32,{"Cumartesi"},E$2:E$32,T(S11))</f>
        <v>1</v>
      </c>
      <c r="AD11" s="33">
        <f>COUNTIFS(C$2:C$32,{"Pazar"},E$2:E$32,T(S11))</f>
        <v>0</v>
      </c>
      <c r="AE11" s="33">
        <f t="shared" si="6"/>
        <v>1</v>
      </c>
      <c r="AF11" s="33">
        <f t="shared" si="7"/>
        <v>1</v>
      </c>
      <c r="AG11" s="33">
        <f t="shared" si="8"/>
        <v>2</v>
      </c>
      <c r="AH11" s="33">
        <f t="shared" si="9"/>
        <v>0</v>
      </c>
      <c r="AI11" s="33">
        <f t="shared" si="10"/>
        <v>0</v>
      </c>
      <c r="BJ11" s="5">
        <v>11</v>
      </c>
    </row>
    <row r="12" spans="1:62" x14ac:dyDescent="0.25">
      <c r="A12" s="1">
        <v>11</v>
      </c>
      <c r="B12" s="12">
        <f t="shared" si="1"/>
        <v>43872</v>
      </c>
      <c r="C12" s="13" t="s">
        <v>38</v>
      </c>
      <c r="D12" s="14">
        <v>7</v>
      </c>
      <c r="E12" s="34" t="str">
        <f>IFERROR(CHOOSE(D12,Mazeret!A$2,Mazeret!A$3,Mazeret!A$4,Mazeret!A$5,Mazeret!A$6,Mazeret!A$7,Mazeret!A$8,Mazeret!A$9,Mazeret!A$10,Mazeret!A$11,Mazeret!A$12,Mazeret!A$13,Mazeret!A$14,Mazeret!A$15,Mazeret!A$16,),0)</f>
        <v>Ahmet</v>
      </c>
      <c r="F12" s="35">
        <f>DELTA(IFERROR(IF(E12=Mazeret!A$2,LOOKUP(A12,Mazeret!B$2:P$2),IF(E12=Mazeret!A$3,LOOKUP(A12,Mazeret!B$3:P$3),IF(E12=Mazeret!A$4,LOOKUP(A12,Mazeret!B$4:P$4),IF(E12=Mazeret!A$5,LOOKUP(A12,Mazeret!B$5:P$5),IF(E12=Mazeret!A$6,LOOKUP(A12,Mazeret!B$6:P$6),IF(E12=Mazeret!A$7,LOOKUP(A12,Mazeret!B$7:P$7),IF(E12=Mazeret!A$8,LOOKUP(A12,Mazeret!B$8:P$8),IF(E12=Mazeret!A$9,LOOKUP(A12,Mazeret!B$9:P$9),IF(E12=Mazeret!A$10,LOOKUP(A12,Mazeret!B$10:P$10),IF(E12=Mazeret!A$11,LOOKUP(A12,Mazeret!B$11:P$11),IF(E12=Mazeret!A$12,LOOKUP(A12,Mazeret!B$12:P$12),IF(E12=Mazeret!A$13,LOOKUP(A12,Mazeret!B$13:P$13),IF(E12=Mazeret!A$14,LOOKUP(A12,Mazeret!B$14:P$14),IF(E12=Mazeret!A$15,LOOKUP(A12,Mazeret!B$15:P$15),IF(E12=Mazeret!A$16,LOOKUP(A12,Mazeret!B$16:P$16)))))))))))))))),0),A12)</f>
        <v>0</v>
      </c>
      <c r="G12" s="33">
        <f t="shared" si="2"/>
        <v>0</v>
      </c>
      <c r="H12" s="33">
        <f t="shared" si="3"/>
        <v>0</v>
      </c>
      <c r="I12" s="33">
        <f t="shared" si="0"/>
        <v>0</v>
      </c>
      <c r="J12" s="36"/>
      <c r="K12" s="26"/>
      <c r="L12" s="26">
        <f t="shared" si="5"/>
        <v>0</v>
      </c>
      <c r="M12" s="26">
        <f t="shared" si="4"/>
        <v>2</v>
      </c>
      <c r="N12" s="26"/>
      <c r="O12" s="26"/>
      <c r="P12" s="26"/>
      <c r="Q12" s="26"/>
      <c r="R12" s="26"/>
      <c r="S12" s="37" t="str">
        <f>Mazeret!A11</f>
        <v>Ceren</v>
      </c>
      <c r="T12" s="33">
        <f>Liste!B12</f>
        <v>1</v>
      </c>
      <c r="U12" s="33">
        <f>Liste!C12</f>
        <v>1</v>
      </c>
      <c r="V12" s="33">
        <f>Liste!D12</f>
        <v>2</v>
      </c>
      <c r="W12" s="33">
        <f>Liste!E12</f>
        <v>2</v>
      </c>
      <c r="X12" s="33">
        <f>COUNTIFS(C$2:C$32,{"Pazartesi"},E$2:E$32,T(S12))</f>
        <v>0</v>
      </c>
      <c r="Y12" s="33">
        <f>COUNTIFS(C$2:C$32,{"Salı"},E$2:E$32,T(S12))</f>
        <v>0</v>
      </c>
      <c r="Z12" s="33">
        <f>COUNTIFS(C$2:C$32,{"Çarşamba"},E$2:E$32,T(S12))</f>
        <v>0</v>
      </c>
      <c r="AA12" s="33">
        <f>COUNTIFS(C$2:C$32,{"Perşembe"},E$2:E$32,T(S12))</f>
        <v>1</v>
      </c>
      <c r="AB12" s="33">
        <f>COUNTIFS(C$2:C$32,{"Cuma"},E$2:E$32,T(S12))</f>
        <v>0</v>
      </c>
      <c r="AC12" s="33">
        <f>COUNTIFS(C$2:C$32,{"Cumartesi"},E$2:E$32,T(S12))</f>
        <v>0</v>
      </c>
      <c r="AD12" s="33">
        <f>COUNTIFS(C$2:C$32,{"Pazar"},E$2:E$32,T(S12))</f>
        <v>1</v>
      </c>
      <c r="AE12" s="33">
        <f t="shared" si="6"/>
        <v>1</v>
      </c>
      <c r="AF12" s="33">
        <f t="shared" si="7"/>
        <v>1</v>
      </c>
      <c r="AG12" s="33">
        <f t="shared" si="8"/>
        <v>2</v>
      </c>
      <c r="AH12" s="33">
        <f t="shared" si="9"/>
        <v>0</v>
      </c>
      <c r="AI12" s="33">
        <f t="shared" si="10"/>
        <v>0</v>
      </c>
      <c r="BJ12" s="5">
        <v>12</v>
      </c>
    </row>
    <row r="13" spans="1:62" x14ac:dyDescent="0.25">
      <c r="A13" s="1">
        <v>12</v>
      </c>
      <c r="B13" s="12">
        <f t="shared" si="1"/>
        <v>43873</v>
      </c>
      <c r="C13" s="13" t="s">
        <v>39</v>
      </c>
      <c r="D13" s="14">
        <v>6</v>
      </c>
      <c r="E13" s="34" t="str">
        <f>IFERROR(CHOOSE(D13,Mazeret!A$2,Mazeret!A$3,Mazeret!A$4,Mazeret!A$5,Mazeret!A$6,Mazeret!A$7,Mazeret!A$8,Mazeret!A$9,Mazeret!A$10,Mazeret!A$11,Mazeret!A$12,Mazeret!A$13,Mazeret!A$14,Mazeret!A$15,Mazeret!A$16,),0)</f>
        <v>Caner</v>
      </c>
      <c r="F13" s="35">
        <f>DELTA(IFERROR(IF(E13=Mazeret!A$2,LOOKUP(A13,Mazeret!B$2:P$2),IF(E13=Mazeret!A$3,LOOKUP(A13,Mazeret!B$3:P$3),IF(E13=Mazeret!A$4,LOOKUP(A13,Mazeret!B$4:P$4),IF(E13=Mazeret!A$5,LOOKUP(A13,Mazeret!B$5:P$5),IF(E13=Mazeret!A$6,LOOKUP(A13,Mazeret!B$6:P$6),IF(E13=Mazeret!A$7,LOOKUP(A13,Mazeret!B$7:P$7),IF(E13=Mazeret!A$8,LOOKUP(A13,Mazeret!B$8:P$8),IF(E13=Mazeret!A$9,LOOKUP(A13,Mazeret!B$9:P$9),IF(E13=Mazeret!A$10,LOOKUP(A13,Mazeret!B$10:P$10),IF(E13=Mazeret!A$11,LOOKUP(A13,Mazeret!B$11:P$11),IF(E13=Mazeret!A$12,LOOKUP(A13,Mazeret!B$12:P$12),IF(E13=Mazeret!A$13,LOOKUP(A13,Mazeret!B$13:P$13),IF(E13=Mazeret!A$14,LOOKUP(A13,Mazeret!B$14:P$14),IF(E13=Mazeret!A$15,LOOKUP(A13,Mazeret!B$15:P$15),IF(E13=Mazeret!A$16,LOOKUP(A13,Mazeret!B$16:P$16)))))))))))))))),0),A13)</f>
        <v>0</v>
      </c>
      <c r="G13" s="33">
        <f t="shared" si="2"/>
        <v>0</v>
      </c>
      <c r="H13" s="33">
        <f t="shared" si="3"/>
        <v>0</v>
      </c>
      <c r="I13" s="33">
        <f t="shared" si="0"/>
        <v>0</v>
      </c>
      <c r="J13" s="36"/>
      <c r="K13" s="26"/>
      <c r="L13" s="26">
        <f t="shared" si="5"/>
        <v>0</v>
      </c>
      <c r="M13" s="26">
        <f t="shared" si="4"/>
        <v>2</v>
      </c>
      <c r="N13" s="26"/>
      <c r="O13" s="26"/>
      <c r="P13" s="26"/>
      <c r="Q13" s="26"/>
      <c r="R13" s="26"/>
      <c r="S13" s="37" t="str">
        <f>Mazeret!A12</f>
        <v>Damla</v>
      </c>
      <c r="T13" s="33">
        <f>Liste!B13</f>
        <v>1</v>
      </c>
      <c r="U13" s="33">
        <f>Liste!C13</f>
        <v>0</v>
      </c>
      <c r="V13" s="33">
        <f>Liste!D13</f>
        <v>1</v>
      </c>
      <c r="W13" s="33">
        <f>Liste!E13</f>
        <v>1</v>
      </c>
      <c r="X13" s="33">
        <f>COUNTIFS(C$2:C$32,{"Pazartesi"},E$2:E$32,T(S13))</f>
        <v>0</v>
      </c>
      <c r="Y13" s="33">
        <f>COUNTIFS(C$2:C$32,{"Salı"},E$2:E$32,T(S13))</f>
        <v>1</v>
      </c>
      <c r="Z13" s="33">
        <f>COUNTIFS(C$2:C$32,{"Çarşamba"},E$2:E$32,T(S13))</f>
        <v>0</v>
      </c>
      <c r="AA13" s="33">
        <f>COUNTIFS(C$2:C$32,{"Perşembe"},E$2:E$32,T(S13))</f>
        <v>0</v>
      </c>
      <c r="AB13" s="33">
        <f>COUNTIFS(C$2:C$32,{"Cuma"},E$2:E$32,T(S13))</f>
        <v>0</v>
      </c>
      <c r="AC13" s="33">
        <f>COUNTIFS(C$2:C$32,{"Cumartesi"},E$2:E$32,T(S13))</f>
        <v>0</v>
      </c>
      <c r="AD13" s="33">
        <f>COUNTIFS(C$2:C$32,{"Pazar"},E$2:E$32,T(S13))</f>
        <v>0</v>
      </c>
      <c r="AE13" s="33">
        <f t="shared" si="6"/>
        <v>1</v>
      </c>
      <c r="AF13" s="33">
        <f t="shared" si="7"/>
        <v>0</v>
      </c>
      <c r="AG13" s="33">
        <f t="shared" si="8"/>
        <v>1</v>
      </c>
      <c r="AH13" s="33">
        <f t="shared" si="9"/>
        <v>0</v>
      </c>
      <c r="AI13" s="33">
        <f t="shared" si="10"/>
        <v>0</v>
      </c>
      <c r="BJ13" s="5">
        <v>13</v>
      </c>
    </row>
    <row r="14" spans="1:62" x14ac:dyDescent="0.25">
      <c r="A14" s="1">
        <v>13</v>
      </c>
      <c r="B14" s="12">
        <f t="shared" si="1"/>
        <v>43874</v>
      </c>
      <c r="C14" s="13" t="s">
        <v>40</v>
      </c>
      <c r="D14" s="14">
        <v>11</v>
      </c>
      <c r="E14" s="34" t="str">
        <f>IFERROR(CHOOSE(D14,Mazeret!A$2,Mazeret!A$3,Mazeret!A$4,Mazeret!A$5,Mazeret!A$6,Mazeret!A$7,Mazeret!A$8,Mazeret!A$9,Mazeret!A$10,Mazeret!A$11,Mazeret!A$12,Mazeret!A$13,Mazeret!A$14,Mazeret!A$15,Mazeret!A$16,),0)</f>
        <v>Damla</v>
      </c>
      <c r="F14" s="35">
        <f>DELTA(IFERROR(IF(E14=Mazeret!A$2,LOOKUP(A14,Mazeret!B$2:P$2),IF(E14=Mazeret!A$3,LOOKUP(A14,Mazeret!B$3:P$3),IF(E14=Mazeret!A$4,LOOKUP(A14,Mazeret!B$4:P$4),IF(E14=Mazeret!A$5,LOOKUP(A14,Mazeret!B$5:P$5),IF(E14=Mazeret!A$6,LOOKUP(A14,Mazeret!B$6:P$6),IF(E14=Mazeret!A$7,LOOKUP(A14,Mazeret!B$7:P$7),IF(E14=Mazeret!A$8,LOOKUP(A14,Mazeret!B$8:P$8),IF(E14=Mazeret!A$9,LOOKUP(A14,Mazeret!B$9:P$9),IF(E14=Mazeret!A$10,LOOKUP(A14,Mazeret!B$10:P$10),IF(E14=Mazeret!A$11,LOOKUP(A14,Mazeret!B$11:P$11),IF(E14=Mazeret!A$12,LOOKUP(A14,Mazeret!B$12:P$12),IF(E14=Mazeret!A$13,LOOKUP(A14,Mazeret!B$13:P$13),IF(E14=Mazeret!A$14,LOOKUP(A14,Mazeret!B$14:P$14),IF(E14=Mazeret!A$15,LOOKUP(A14,Mazeret!B$15:P$15),IF(E14=Mazeret!A$16,LOOKUP(A14,Mazeret!B$16:P$16)))))))))))))))),0),A14)</f>
        <v>0</v>
      </c>
      <c r="G14" s="33">
        <f t="shared" si="2"/>
        <v>0</v>
      </c>
      <c r="H14" s="33">
        <f t="shared" si="3"/>
        <v>0</v>
      </c>
      <c r="I14" s="33">
        <f t="shared" si="0"/>
        <v>0</v>
      </c>
      <c r="J14" s="36"/>
      <c r="K14" s="26"/>
      <c r="L14" s="26">
        <f t="shared" si="5"/>
        <v>0</v>
      </c>
      <c r="M14" s="26">
        <f t="shared" si="4"/>
        <v>2</v>
      </c>
      <c r="N14" s="26"/>
      <c r="O14" s="26"/>
      <c r="P14" s="26"/>
      <c r="Q14" s="26"/>
      <c r="R14" s="26"/>
      <c r="S14" s="37" t="str">
        <f>Mazeret!A13</f>
        <v/>
      </c>
      <c r="T14" s="33">
        <f>Liste!B14</f>
        <v>0</v>
      </c>
      <c r="U14" s="33">
        <f>Liste!C14</f>
        <v>0</v>
      </c>
      <c r="V14" s="33">
        <f>Liste!D14</f>
        <v>0</v>
      </c>
      <c r="W14" s="33">
        <f>Liste!E14</f>
        <v>0</v>
      </c>
      <c r="X14" s="33">
        <f>COUNTIFS(C$2:C$32,{"Pazartesi"},E$2:E$32,T(S14))</f>
        <v>0</v>
      </c>
      <c r="Y14" s="33">
        <f>COUNTIFS(C$2:C$32,{"Salı"},E$2:E$32,T(S14))</f>
        <v>0</v>
      </c>
      <c r="Z14" s="33">
        <f>COUNTIFS(C$2:C$32,{"Çarşamba"},E$2:E$32,T(S14))</f>
        <v>0</v>
      </c>
      <c r="AA14" s="33">
        <f>COUNTIFS(C$2:C$32,{"Perşembe"},E$2:E$32,T(S14))</f>
        <v>0</v>
      </c>
      <c r="AB14" s="33">
        <f>COUNTIFS(C$2:C$32,{"Cuma"},E$2:E$32,T(S14))</f>
        <v>0</v>
      </c>
      <c r="AC14" s="33">
        <f>COUNTIFS(C$2:C$32,{"Cumartesi"},E$2:E$32,T(S14))</f>
        <v>0</v>
      </c>
      <c r="AD14" s="33">
        <f>COUNTIFS(C$2:C$32,{"Pazar"},E$2:E$32,T(S14))</f>
        <v>0</v>
      </c>
      <c r="AE14" s="33">
        <f t="shared" si="6"/>
        <v>0</v>
      </c>
      <c r="AF14" s="33">
        <f t="shared" si="7"/>
        <v>0</v>
      </c>
      <c r="AG14" s="33">
        <f t="shared" si="8"/>
        <v>0</v>
      </c>
      <c r="AH14" s="33">
        <f t="shared" si="9"/>
        <v>0</v>
      </c>
      <c r="AI14" s="33">
        <f t="shared" si="10"/>
        <v>0</v>
      </c>
      <c r="BJ14" s="5">
        <v>14</v>
      </c>
    </row>
    <row r="15" spans="1:62" x14ac:dyDescent="0.25">
      <c r="A15" s="1">
        <v>14</v>
      </c>
      <c r="B15" s="12">
        <f t="shared" si="1"/>
        <v>43875</v>
      </c>
      <c r="C15" s="13" t="s">
        <v>41</v>
      </c>
      <c r="D15" s="14">
        <v>3</v>
      </c>
      <c r="E15" s="34" t="str">
        <f>IFERROR(CHOOSE(D15,Mazeret!A$2,Mazeret!A$3,Mazeret!A$4,Mazeret!A$5,Mazeret!A$6,Mazeret!A$7,Mazeret!A$8,Mazeret!A$9,Mazeret!A$10,Mazeret!A$11,Mazeret!A$12,Mazeret!A$13,Mazeret!A$14,Mazeret!A$15,Mazeret!A$16,),0)</f>
        <v>Can</v>
      </c>
      <c r="F15" s="35">
        <f>DELTA(IFERROR(IF(E15=Mazeret!A$2,LOOKUP(A15,Mazeret!B$2:P$2),IF(E15=Mazeret!A$3,LOOKUP(A15,Mazeret!B$3:P$3),IF(E15=Mazeret!A$4,LOOKUP(A15,Mazeret!B$4:P$4),IF(E15=Mazeret!A$5,LOOKUP(A15,Mazeret!B$5:P$5),IF(E15=Mazeret!A$6,LOOKUP(A15,Mazeret!B$6:P$6),IF(E15=Mazeret!A$7,LOOKUP(A15,Mazeret!B$7:P$7),IF(E15=Mazeret!A$8,LOOKUP(A15,Mazeret!B$8:P$8),IF(E15=Mazeret!A$9,LOOKUP(A15,Mazeret!B$9:P$9),IF(E15=Mazeret!A$10,LOOKUP(A15,Mazeret!B$10:P$10),IF(E15=Mazeret!A$11,LOOKUP(A15,Mazeret!B$11:P$11),IF(E15=Mazeret!A$12,LOOKUP(A15,Mazeret!B$12:P$12),IF(E15=Mazeret!A$13,LOOKUP(A15,Mazeret!B$13:P$13),IF(E15=Mazeret!A$14,LOOKUP(A15,Mazeret!B$14:P$14),IF(E15=Mazeret!A$15,LOOKUP(A15,Mazeret!B$15:P$15),IF(E15=Mazeret!A$16,LOOKUP(A15,Mazeret!B$16:P$16)))))))))))))))),0),A15)</f>
        <v>0</v>
      </c>
      <c r="G15" s="33">
        <f t="shared" si="2"/>
        <v>0</v>
      </c>
      <c r="H15" s="33">
        <f t="shared" si="3"/>
        <v>0</v>
      </c>
      <c r="I15" s="33">
        <f t="shared" si="0"/>
        <v>0</v>
      </c>
      <c r="J15" s="36"/>
      <c r="K15" s="26"/>
      <c r="L15" s="26">
        <f t="shared" si="5"/>
        <v>0</v>
      </c>
      <c r="M15" s="26">
        <f t="shared" si="4"/>
        <v>2</v>
      </c>
      <c r="N15" s="26"/>
      <c r="O15" s="26"/>
      <c r="P15" s="26"/>
      <c r="Q15" s="26"/>
      <c r="R15" s="26"/>
      <c r="S15" s="37" t="str">
        <f>Mazeret!A14</f>
        <v/>
      </c>
      <c r="T15" s="33">
        <f>Liste!B15</f>
        <v>0</v>
      </c>
      <c r="U15" s="33">
        <f>Liste!C15</f>
        <v>0</v>
      </c>
      <c r="V15" s="33">
        <f>Liste!D15</f>
        <v>0</v>
      </c>
      <c r="W15" s="33">
        <f>Liste!E15</f>
        <v>0</v>
      </c>
      <c r="X15" s="33">
        <f>COUNTIFS(C$2:C$32,{"Pazartesi"},E$2:E$32,T(S15))</f>
        <v>0</v>
      </c>
      <c r="Y15" s="33">
        <f>COUNTIFS(C$2:C$32,{"Salı"},E$2:E$32,T(S15))</f>
        <v>0</v>
      </c>
      <c r="Z15" s="33">
        <f>COUNTIFS(C$2:C$32,{"Çarşamba"},E$2:E$32,T(S15))</f>
        <v>0</v>
      </c>
      <c r="AA15" s="33">
        <f>COUNTIFS(C$2:C$32,{"Perşembe"},E$2:E$32,T(S15))</f>
        <v>0</v>
      </c>
      <c r="AB15" s="33">
        <f>COUNTIFS(C$2:C$32,{"Cuma"},E$2:E$32,T(S15))</f>
        <v>0</v>
      </c>
      <c r="AC15" s="33">
        <f>COUNTIFS(C$2:C$32,{"Cumartesi"},E$2:E$32,T(S15))</f>
        <v>0</v>
      </c>
      <c r="AD15" s="33">
        <f>COUNTIFS(C$2:C$32,{"Pazar"},E$2:E$32,T(S15))</f>
        <v>0</v>
      </c>
      <c r="AE15" s="33">
        <f t="shared" si="6"/>
        <v>0</v>
      </c>
      <c r="AF15" s="33">
        <f t="shared" si="7"/>
        <v>0</v>
      </c>
      <c r="AG15" s="33">
        <f t="shared" si="8"/>
        <v>0</v>
      </c>
      <c r="AH15" s="33">
        <f t="shared" si="9"/>
        <v>0</v>
      </c>
      <c r="AI15" s="33">
        <f t="shared" si="10"/>
        <v>0</v>
      </c>
      <c r="BJ15" s="5">
        <v>15</v>
      </c>
    </row>
    <row r="16" spans="1:62" x14ac:dyDescent="0.25">
      <c r="A16" s="1">
        <v>15</v>
      </c>
      <c r="B16" s="12">
        <f t="shared" si="1"/>
        <v>43876</v>
      </c>
      <c r="C16" s="13" t="s">
        <v>35</v>
      </c>
      <c r="D16" s="14">
        <v>4</v>
      </c>
      <c r="E16" s="34" t="str">
        <f>IFERROR(CHOOSE(D16,Mazeret!A$2,Mazeret!A$3,Mazeret!A$4,Mazeret!A$5,Mazeret!A$6,Mazeret!A$7,Mazeret!A$8,Mazeret!A$9,Mazeret!A$10,Mazeret!A$11,Mazeret!A$12,Mazeret!A$13,Mazeret!A$14,Mazeret!A$15,Mazeret!A$16,),0)</f>
        <v>Deniz</v>
      </c>
      <c r="F16" s="35">
        <f>DELTA(IFERROR(IF(E16=Mazeret!A$2,LOOKUP(A16,Mazeret!B$2:P$2),IF(E16=Mazeret!A$3,LOOKUP(A16,Mazeret!B$3:P$3),IF(E16=Mazeret!A$4,LOOKUP(A16,Mazeret!B$4:P$4),IF(E16=Mazeret!A$5,LOOKUP(A16,Mazeret!B$5:P$5),IF(E16=Mazeret!A$6,LOOKUP(A16,Mazeret!B$6:P$6),IF(E16=Mazeret!A$7,LOOKUP(A16,Mazeret!B$7:P$7),IF(E16=Mazeret!A$8,LOOKUP(A16,Mazeret!B$8:P$8),IF(E16=Mazeret!A$9,LOOKUP(A16,Mazeret!B$9:P$9),IF(E16=Mazeret!A$10,LOOKUP(A16,Mazeret!B$10:P$10),IF(E16=Mazeret!A$11,LOOKUP(A16,Mazeret!B$11:P$11),IF(E16=Mazeret!A$12,LOOKUP(A16,Mazeret!B$12:P$12),IF(E16=Mazeret!A$13,LOOKUP(A16,Mazeret!B$13:P$13),IF(E16=Mazeret!A$14,LOOKUP(A16,Mazeret!B$14:P$14),IF(E16=Mazeret!A$15,LOOKUP(A16,Mazeret!B$15:P$15),IF(E16=Mazeret!A$16,LOOKUP(A16,Mazeret!B$16:P$16)))))))))))))))),0),A16)</f>
        <v>0</v>
      </c>
      <c r="G16" s="33">
        <f t="shared" si="2"/>
        <v>0</v>
      </c>
      <c r="H16" s="33">
        <f t="shared" si="3"/>
        <v>0</v>
      </c>
      <c r="I16" s="33">
        <f t="shared" si="0"/>
        <v>0</v>
      </c>
      <c r="J16" s="36"/>
      <c r="K16" s="26"/>
      <c r="L16" s="26">
        <f t="shared" si="5"/>
        <v>0</v>
      </c>
      <c r="M16" s="26">
        <f t="shared" si="4"/>
        <v>2</v>
      </c>
      <c r="N16" s="26"/>
      <c r="O16" s="26"/>
      <c r="P16" s="26"/>
      <c r="Q16" s="26"/>
      <c r="R16" s="26"/>
      <c r="S16" s="37" t="str">
        <f>Mazeret!A15</f>
        <v/>
      </c>
      <c r="T16" s="33">
        <f>Liste!B16</f>
        <v>0</v>
      </c>
      <c r="U16" s="33">
        <f>Liste!C16</f>
        <v>0</v>
      </c>
      <c r="V16" s="33">
        <f>Liste!D16</f>
        <v>0</v>
      </c>
      <c r="W16" s="33">
        <f>Liste!E16</f>
        <v>0</v>
      </c>
      <c r="X16" s="33">
        <f>COUNTIFS(C$2:C$32,{"Pazartesi"},E$2:E$32,T(S16))</f>
        <v>0</v>
      </c>
      <c r="Y16" s="33">
        <f>COUNTIFS(C$2:C$32,{"Salı"},E$2:E$32,T(S16))</f>
        <v>0</v>
      </c>
      <c r="Z16" s="33">
        <f>COUNTIFS(C$2:C$32,{"Çarşamba"},E$2:E$32,T(S16))</f>
        <v>0</v>
      </c>
      <c r="AA16" s="33">
        <f>COUNTIFS(C$2:C$32,{"Perşembe"},E$2:E$32,T(S16))</f>
        <v>0</v>
      </c>
      <c r="AB16" s="33">
        <f>COUNTIFS(C$2:C$32,{"Cuma"},E$2:E$32,T(S16))</f>
        <v>0</v>
      </c>
      <c r="AC16" s="33">
        <f>COUNTIFS(C$2:C$32,{"Cumartesi"},E$2:E$32,T(S16))</f>
        <v>0</v>
      </c>
      <c r="AD16" s="33">
        <f>COUNTIFS(C$2:C$32,{"Pazar"},E$2:E$32,T(S16))</f>
        <v>0</v>
      </c>
      <c r="AE16" s="33">
        <f t="shared" si="6"/>
        <v>0</v>
      </c>
      <c r="AF16" s="33">
        <f t="shared" si="7"/>
        <v>0</v>
      </c>
      <c r="AG16" s="33">
        <f t="shared" si="8"/>
        <v>0</v>
      </c>
      <c r="AH16" s="33">
        <f t="shared" si="9"/>
        <v>0</v>
      </c>
      <c r="AI16" s="33">
        <f t="shared" si="10"/>
        <v>0</v>
      </c>
      <c r="BJ16" s="5">
        <v>16</v>
      </c>
    </row>
    <row r="17" spans="1:35" x14ac:dyDescent="0.25">
      <c r="A17" s="1">
        <v>16</v>
      </c>
      <c r="B17" s="12">
        <f t="shared" si="1"/>
        <v>43877</v>
      </c>
      <c r="C17" s="13" t="s">
        <v>36</v>
      </c>
      <c r="D17" s="14">
        <v>3</v>
      </c>
      <c r="E17" s="34" t="str">
        <f>IFERROR(CHOOSE(D17,Mazeret!A$2,Mazeret!A$3,Mazeret!A$4,Mazeret!A$5,Mazeret!A$6,Mazeret!A$7,Mazeret!A$8,Mazeret!A$9,Mazeret!A$10,Mazeret!A$11,Mazeret!A$12,Mazeret!A$13,Mazeret!A$14,Mazeret!A$15,Mazeret!A$16,),0)</f>
        <v>Can</v>
      </c>
      <c r="F17" s="35">
        <f>DELTA(IFERROR(IF(E17=Mazeret!A$2,LOOKUP(A17,Mazeret!B$2:P$2),IF(E17=Mazeret!A$3,LOOKUP(A17,Mazeret!B$3:P$3),IF(E17=Mazeret!A$4,LOOKUP(A17,Mazeret!B$4:P$4),IF(E17=Mazeret!A$5,LOOKUP(A17,Mazeret!B$5:P$5),IF(E17=Mazeret!A$6,LOOKUP(A17,Mazeret!B$6:P$6),IF(E17=Mazeret!A$7,LOOKUP(A17,Mazeret!B$7:P$7),IF(E17=Mazeret!A$8,LOOKUP(A17,Mazeret!B$8:P$8),IF(E17=Mazeret!A$9,LOOKUP(A17,Mazeret!B$9:P$9),IF(E17=Mazeret!A$10,LOOKUP(A17,Mazeret!B$10:P$10),IF(E17=Mazeret!A$11,LOOKUP(A17,Mazeret!B$11:P$11),IF(E17=Mazeret!A$12,LOOKUP(A17,Mazeret!B$12:P$12),IF(E17=Mazeret!A$13,LOOKUP(A17,Mazeret!B$13:P$13),IF(E17=Mazeret!A$14,LOOKUP(A17,Mazeret!B$14:P$14),IF(E17=Mazeret!A$15,LOOKUP(A17,Mazeret!B$15:P$15),IF(E17=Mazeret!A$16,LOOKUP(A17,Mazeret!B$16:P$16)))))))))))))))),0),A17)</f>
        <v>0</v>
      </c>
      <c r="G17" s="33">
        <f t="shared" si="2"/>
        <v>0</v>
      </c>
      <c r="H17" s="33">
        <f t="shared" si="3"/>
        <v>0</v>
      </c>
      <c r="I17" s="33">
        <f t="shared" si="0"/>
        <v>0</v>
      </c>
      <c r="J17" s="36"/>
      <c r="K17" s="26"/>
      <c r="L17" s="26">
        <f t="shared" si="5"/>
        <v>0</v>
      </c>
      <c r="M17" s="26">
        <f t="shared" si="4"/>
        <v>2</v>
      </c>
      <c r="N17" s="26"/>
      <c r="O17" s="26"/>
      <c r="P17" s="26"/>
      <c r="Q17" s="26"/>
      <c r="R17" s="26"/>
      <c r="S17" s="37" t="str">
        <f>Mazeret!A16</f>
        <v/>
      </c>
      <c r="T17" s="33">
        <f>Liste!B17</f>
        <v>0</v>
      </c>
      <c r="U17" s="33">
        <f>Liste!C17</f>
        <v>0</v>
      </c>
      <c r="V17" s="33">
        <f>Liste!D17</f>
        <v>0</v>
      </c>
      <c r="W17" s="33">
        <f>Liste!E17</f>
        <v>0</v>
      </c>
      <c r="X17" s="33">
        <f>COUNTIFS(C$2:C$32,{"Pazartesi"},E$2:E$32,T(S17))</f>
        <v>0</v>
      </c>
      <c r="Y17" s="33">
        <f>COUNTIFS(C$2:C$32,{"Salı"},E$2:E$32,T(S17))</f>
        <v>0</v>
      </c>
      <c r="Z17" s="33">
        <f>COUNTIFS(C$2:C$32,{"Çarşamba"},E$2:E$32,T(S17))</f>
        <v>0</v>
      </c>
      <c r="AA17" s="33">
        <f>COUNTIFS(C$2:C$32,{"Perşembe"},E$2:E$32,T(S17))</f>
        <v>0</v>
      </c>
      <c r="AB17" s="33">
        <f>COUNTIFS(C$2:C$32,{"Cuma"},E$2:E$32,T(S17))</f>
        <v>0</v>
      </c>
      <c r="AC17" s="33">
        <f>COUNTIFS(C$2:C$32,{"Cumartesi"},E$2:E$32,T(S17))</f>
        <v>0</v>
      </c>
      <c r="AD17" s="33">
        <f>COUNTIFS(C$2:C$32,{"Pazar"},E$2:E$32,T(S17))</f>
        <v>0</v>
      </c>
      <c r="AE17" s="33">
        <f t="shared" si="6"/>
        <v>0</v>
      </c>
      <c r="AF17" s="33">
        <f t="shared" si="7"/>
        <v>0</v>
      </c>
      <c r="AG17" s="33">
        <f t="shared" si="8"/>
        <v>0</v>
      </c>
      <c r="AH17" s="33">
        <f t="shared" si="9"/>
        <v>0</v>
      </c>
      <c r="AI17" s="33">
        <f t="shared" si="10"/>
        <v>0</v>
      </c>
    </row>
    <row r="18" spans="1:35" x14ac:dyDescent="0.25">
      <c r="A18" s="1">
        <v>17</v>
      </c>
      <c r="B18" s="12">
        <f t="shared" si="1"/>
        <v>43878</v>
      </c>
      <c r="C18" s="13" t="s">
        <v>37</v>
      </c>
      <c r="D18" s="14">
        <v>9</v>
      </c>
      <c r="E18" s="34" t="str">
        <f>IFERROR(CHOOSE(D18,Mazeret!A$2,Mazeret!A$3,Mazeret!A$4,Mazeret!A$5,Mazeret!A$6,Mazeret!A$7,Mazeret!A$8,Mazeret!A$9,Mazeret!A$10,Mazeret!A$11,Mazeret!A$12,Mazeret!A$13,Mazeret!A$14,Mazeret!A$15,Mazeret!A$16,),0)</f>
        <v>Merter</v>
      </c>
      <c r="F18" s="35">
        <f>DELTA(IFERROR(IF(E18=Mazeret!A$2,LOOKUP(A18,Mazeret!B$2:P$2),IF(E18=Mazeret!A$3,LOOKUP(A18,Mazeret!B$3:P$3),IF(E18=Mazeret!A$4,LOOKUP(A18,Mazeret!B$4:P$4),IF(E18=Mazeret!A$5,LOOKUP(A18,Mazeret!B$5:P$5),IF(E18=Mazeret!A$6,LOOKUP(A18,Mazeret!B$6:P$6),IF(E18=Mazeret!A$7,LOOKUP(A18,Mazeret!B$7:P$7),IF(E18=Mazeret!A$8,LOOKUP(A18,Mazeret!B$8:P$8),IF(E18=Mazeret!A$9,LOOKUP(A18,Mazeret!B$9:P$9),IF(E18=Mazeret!A$10,LOOKUP(A18,Mazeret!B$10:P$10),IF(E18=Mazeret!A$11,LOOKUP(A18,Mazeret!B$11:P$11),IF(E18=Mazeret!A$12,LOOKUP(A18,Mazeret!B$12:P$12),IF(E18=Mazeret!A$13,LOOKUP(A18,Mazeret!B$13:P$13),IF(E18=Mazeret!A$14,LOOKUP(A18,Mazeret!B$14:P$14),IF(E18=Mazeret!A$15,LOOKUP(A18,Mazeret!B$15:P$15),IF(E18=Mazeret!A$16,LOOKUP(A18,Mazeret!B$16:P$16)))))))))))))))),0),A18)</f>
        <v>0</v>
      </c>
      <c r="G18" s="33">
        <f t="shared" si="2"/>
        <v>0</v>
      </c>
      <c r="H18" s="33">
        <f t="shared" si="3"/>
        <v>0</v>
      </c>
      <c r="I18" s="33">
        <f t="shared" si="0"/>
        <v>0</v>
      </c>
      <c r="J18" s="36"/>
      <c r="K18" s="26"/>
      <c r="L18" s="26">
        <f t="shared" si="5"/>
        <v>0</v>
      </c>
      <c r="M18" s="26">
        <f t="shared" si="4"/>
        <v>2</v>
      </c>
      <c r="N18" s="26"/>
      <c r="O18" s="26"/>
      <c r="P18" s="26"/>
      <c r="Q18" s="26"/>
      <c r="R18" s="26"/>
      <c r="S18" s="37" t="s">
        <v>11</v>
      </c>
      <c r="T18" s="33">
        <f>Liste!B18</f>
        <v>21</v>
      </c>
      <c r="U18" s="33">
        <f>Liste!C18</f>
        <v>8</v>
      </c>
      <c r="V18" s="33">
        <f>Liste!D18</f>
        <v>29</v>
      </c>
      <c r="W18" s="33">
        <f>SUM(W3:W17)</f>
        <v>29</v>
      </c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</row>
    <row r="19" spans="1:35" x14ac:dyDescent="0.25">
      <c r="A19" s="1">
        <v>18</v>
      </c>
      <c r="B19" s="12">
        <f t="shared" si="1"/>
        <v>43879</v>
      </c>
      <c r="C19" s="13" t="s">
        <v>38</v>
      </c>
      <c r="D19" s="14">
        <v>10</v>
      </c>
      <c r="E19" s="34" t="str">
        <f>IFERROR(CHOOSE(D19,Mazeret!A$2,Mazeret!A$3,Mazeret!A$4,Mazeret!A$5,Mazeret!A$6,Mazeret!A$7,Mazeret!A$8,Mazeret!A$9,Mazeret!A$10,Mazeret!A$11,Mazeret!A$12,Mazeret!A$13,Mazeret!A$14,Mazeret!A$15,Mazeret!A$16,),0)</f>
        <v>Ceren</v>
      </c>
      <c r="F19" s="35">
        <f>DELTA(IFERROR(IF(E19=Mazeret!A$2,LOOKUP(A19,Mazeret!B$2:P$2),IF(E19=Mazeret!A$3,LOOKUP(A19,Mazeret!B$3:P$3),IF(E19=Mazeret!A$4,LOOKUP(A19,Mazeret!B$4:P$4),IF(E19=Mazeret!A$5,LOOKUP(A19,Mazeret!B$5:P$5),IF(E19=Mazeret!A$6,LOOKUP(A19,Mazeret!B$6:P$6),IF(E19=Mazeret!A$7,LOOKUP(A19,Mazeret!B$7:P$7),IF(E19=Mazeret!A$8,LOOKUP(A19,Mazeret!B$8:P$8),IF(E19=Mazeret!A$9,LOOKUP(A19,Mazeret!B$9:P$9),IF(E19=Mazeret!A$10,LOOKUP(A19,Mazeret!B$10:P$10),IF(E19=Mazeret!A$11,LOOKUP(A19,Mazeret!B$11:P$11),IF(E19=Mazeret!A$12,LOOKUP(A19,Mazeret!B$12:P$12),IF(E19=Mazeret!A$13,LOOKUP(A19,Mazeret!B$13:P$13),IF(E19=Mazeret!A$14,LOOKUP(A19,Mazeret!B$14:P$14),IF(E19=Mazeret!A$15,LOOKUP(A19,Mazeret!B$15:P$15),IF(E19=Mazeret!A$16,LOOKUP(A19,Mazeret!B$16:P$16)))))))))))))))),0),A19)</f>
        <v>0</v>
      </c>
      <c r="G19" s="33">
        <f t="shared" si="2"/>
        <v>0</v>
      </c>
      <c r="H19" s="33">
        <f t="shared" si="3"/>
        <v>0</v>
      </c>
      <c r="I19" s="33">
        <f t="shared" si="0"/>
        <v>0</v>
      </c>
      <c r="J19" s="36"/>
      <c r="K19" s="26"/>
      <c r="L19" s="26">
        <f t="shared" si="5"/>
        <v>0</v>
      </c>
      <c r="M19" s="26">
        <f t="shared" si="4"/>
        <v>2</v>
      </c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</row>
    <row r="20" spans="1:35" x14ac:dyDescent="0.25">
      <c r="A20" s="1">
        <v>19</v>
      </c>
      <c r="B20" s="12">
        <f t="shared" si="1"/>
        <v>43880</v>
      </c>
      <c r="C20" s="13" t="s">
        <v>39</v>
      </c>
      <c r="D20" s="14">
        <v>8</v>
      </c>
      <c r="E20" s="34" t="str">
        <f>IFERROR(CHOOSE(D20,Mazeret!A$2,Mazeret!A$3,Mazeret!A$4,Mazeret!A$5,Mazeret!A$6,Mazeret!A$7,Mazeret!A$8,Mazeret!A$9,Mazeret!A$10,Mazeret!A$11,Mazeret!A$12,Mazeret!A$13,Mazeret!A$14,Mazeret!A$15,Mazeret!A$16,),0)</f>
        <v>Mehmet</v>
      </c>
      <c r="F20" s="35">
        <f>DELTA(IFERROR(IF(E20=Mazeret!A$2,LOOKUP(A20,Mazeret!B$2:P$2),IF(E20=Mazeret!A$3,LOOKUP(A20,Mazeret!B$3:P$3),IF(E20=Mazeret!A$4,LOOKUP(A20,Mazeret!B$4:P$4),IF(E20=Mazeret!A$5,LOOKUP(A20,Mazeret!B$5:P$5),IF(E20=Mazeret!A$6,LOOKUP(A20,Mazeret!B$6:P$6),IF(E20=Mazeret!A$7,LOOKUP(A20,Mazeret!B$7:P$7),IF(E20=Mazeret!A$8,LOOKUP(A20,Mazeret!B$8:P$8),IF(E20=Mazeret!A$9,LOOKUP(A20,Mazeret!B$9:P$9),IF(E20=Mazeret!A$10,LOOKUP(A20,Mazeret!B$10:P$10),IF(E20=Mazeret!A$11,LOOKUP(A20,Mazeret!B$11:P$11),IF(E20=Mazeret!A$12,LOOKUP(A20,Mazeret!B$12:P$12),IF(E20=Mazeret!A$13,LOOKUP(A20,Mazeret!B$13:P$13),IF(E20=Mazeret!A$14,LOOKUP(A20,Mazeret!B$14:P$14),IF(E20=Mazeret!A$15,LOOKUP(A20,Mazeret!B$15:P$15),IF(E20=Mazeret!A$16,LOOKUP(A20,Mazeret!B$16:P$16)))))))))))))))),0),A20)</f>
        <v>0</v>
      </c>
      <c r="G20" s="33">
        <f t="shared" si="2"/>
        <v>0</v>
      </c>
      <c r="H20" s="33">
        <f t="shared" si="3"/>
        <v>0</v>
      </c>
      <c r="I20" s="33">
        <f t="shared" si="0"/>
        <v>0</v>
      </c>
      <c r="J20" s="36"/>
      <c r="K20" s="26"/>
      <c r="L20" s="26">
        <f t="shared" si="5"/>
        <v>0</v>
      </c>
      <c r="M20" s="26">
        <f t="shared" si="4"/>
        <v>2</v>
      </c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26"/>
      <c r="AI20" s="26"/>
    </row>
    <row r="21" spans="1:35" ht="15" customHeight="1" x14ac:dyDescent="0.25">
      <c r="A21" s="1">
        <v>20</v>
      </c>
      <c r="B21" s="12">
        <f t="shared" si="1"/>
        <v>43881</v>
      </c>
      <c r="C21" s="13" t="s">
        <v>40</v>
      </c>
      <c r="D21" s="14">
        <v>4</v>
      </c>
      <c r="E21" s="34" t="str">
        <f>IFERROR(CHOOSE(D21,Mazeret!A$2,Mazeret!A$3,Mazeret!A$4,Mazeret!A$5,Mazeret!A$6,Mazeret!A$7,Mazeret!A$8,Mazeret!A$9,Mazeret!A$10,Mazeret!A$11,Mazeret!A$12,Mazeret!A$13,Mazeret!A$14,Mazeret!A$15,Mazeret!A$16,),0)</f>
        <v>Deniz</v>
      </c>
      <c r="F21" s="35">
        <f>DELTA(IFERROR(IF(E21=Mazeret!A$2,LOOKUP(A21,Mazeret!B$2:P$2),IF(E21=Mazeret!A$3,LOOKUP(A21,Mazeret!B$3:P$3),IF(E21=Mazeret!A$4,LOOKUP(A21,Mazeret!B$4:P$4),IF(E21=Mazeret!A$5,LOOKUP(A21,Mazeret!B$5:P$5),IF(E21=Mazeret!A$6,LOOKUP(A21,Mazeret!B$6:P$6),IF(E21=Mazeret!A$7,LOOKUP(A21,Mazeret!B$7:P$7),IF(E21=Mazeret!A$8,LOOKUP(A21,Mazeret!B$8:P$8),IF(E21=Mazeret!A$9,LOOKUP(A21,Mazeret!B$9:P$9),IF(E21=Mazeret!A$10,LOOKUP(A21,Mazeret!B$10:P$10),IF(E21=Mazeret!A$11,LOOKUP(A21,Mazeret!B$11:P$11),IF(E21=Mazeret!A$12,LOOKUP(A21,Mazeret!B$12:P$12),IF(E21=Mazeret!A$13,LOOKUP(A21,Mazeret!B$13:P$13),IF(E21=Mazeret!A$14,LOOKUP(A21,Mazeret!B$14:P$14),IF(E21=Mazeret!A$15,LOOKUP(A21,Mazeret!B$15:P$15),IF(E21=Mazeret!A$16,LOOKUP(A21,Mazeret!B$16:P$16)))))))))))))))),0),A21)</f>
        <v>0</v>
      </c>
      <c r="G21" s="33">
        <f t="shared" si="2"/>
        <v>0</v>
      </c>
      <c r="H21" s="33">
        <f t="shared" si="3"/>
        <v>0</v>
      </c>
      <c r="I21" s="33">
        <f t="shared" si="0"/>
        <v>0</v>
      </c>
      <c r="J21" s="36"/>
      <c r="K21" s="26"/>
      <c r="L21" s="26">
        <f t="shared" si="5"/>
        <v>0</v>
      </c>
      <c r="M21" s="26">
        <f t="shared" si="4"/>
        <v>2</v>
      </c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26"/>
    </row>
    <row r="22" spans="1:35" ht="15" customHeight="1" x14ac:dyDescent="0.25">
      <c r="A22" s="1">
        <v>21</v>
      </c>
      <c r="B22" s="12">
        <f t="shared" si="1"/>
        <v>43882</v>
      </c>
      <c r="C22" s="13" t="s">
        <v>41</v>
      </c>
      <c r="D22" s="14">
        <v>5</v>
      </c>
      <c r="E22" s="34" t="str">
        <f>IFERROR(CHOOSE(D22,Mazeret!A$2,Mazeret!A$3,Mazeret!A$4,Mazeret!A$5,Mazeret!A$6,Mazeret!A$7,Mazeret!A$8,Mazeret!A$9,Mazeret!A$10,Mazeret!A$11,Mazeret!A$12,Mazeret!A$13,Mazeret!A$14,Mazeret!A$15,Mazeret!A$16,),0)</f>
        <v>Eyşan</v>
      </c>
      <c r="F22" s="35">
        <f>DELTA(IFERROR(IF(E22=Mazeret!A$2,LOOKUP(A22,Mazeret!B$2:P$2),IF(E22=Mazeret!A$3,LOOKUP(A22,Mazeret!B$3:P$3),IF(E22=Mazeret!A$4,LOOKUP(A22,Mazeret!B$4:P$4),IF(E22=Mazeret!A$5,LOOKUP(A22,Mazeret!B$5:P$5),IF(E22=Mazeret!A$6,LOOKUP(A22,Mazeret!B$6:P$6),IF(E22=Mazeret!A$7,LOOKUP(A22,Mazeret!B$7:P$7),IF(E22=Mazeret!A$8,LOOKUP(A22,Mazeret!B$8:P$8),IF(E22=Mazeret!A$9,LOOKUP(A22,Mazeret!B$9:P$9),IF(E22=Mazeret!A$10,LOOKUP(A22,Mazeret!B$10:P$10),IF(E22=Mazeret!A$11,LOOKUP(A22,Mazeret!B$11:P$11),IF(E22=Mazeret!A$12,LOOKUP(A22,Mazeret!B$12:P$12),IF(E22=Mazeret!A$13,LOOKUP(A22,Mazeret!B$13:P$13),IF(E22=Mazeret!A$14,LOOKUP(A22,Mazeret!B$14:P$14),IF(E22=Mazeret!A$15,LOOKUP(A22,Mazeret!B$15:P$15),IF(E22=Mazeret!A$16,LOOKUP(A22,Mazeret!B$16:P$16)))))))))))))))),0),A22)</f>
        <v>0</v>
      </c>
      <c r="G22" s="33">
        <f t="shared" si="2"/>
        <v>0</v>
      </c>
      <c r="H22" s="33">
        <f t="shared" si="3"/>
        <v>0</v>
      </c>
      <c r="I22" s="33">
        <f t="shared" si="0"/>
        <v>0</v>
      </c>
      <c r="J22" s="36"/>
      <c r="K22" s="26"/>
      <c r="L22" s="26">
        <f t="shared" si="5"/>
        <v>0</v>
      </c>
      <c r="M22" s="26">
        <f t="shared" si="4"/>
        <v>2</v>
      </c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</row>
    <row r="23" spans="1:35" ht="15.75" customHeight="1" x14ac:dyDescent="0.25">
      <c r="A23" s="1">
        <v>22</v>
      </c>
      <c r="B23" s="12">
        <f t="shared" si="1"/>
        <v>43883</v>
      </c>
      <c r="C23" s="13" t="s">
        <v>35</v>
      </c>
      <c r="D23" s="14">
        <v>3</v>
      </c>
      <c r="E23" s="34" t="str">
        <f>IFERROR(CHOOSE(D23,Mazeret!A$2,Mazeret!A$3,Mazeret!A$4,Mazeret!A$5,Mazeret!A$6,Mazeret!A$7,Mazeret!A$8,Mazeret!A$9,Mazeret!A$10,Mazeret!A$11,Mazeret!A$12,Mazeret!A$13,Mazeret!A$14,Mazeret!A$15,Mazeret!A$16,),0)</f>
        <v>Can</v>
      </c>
      <c r="F23" s="35">
        <f>DELTA(IFERROR(IF(E23=Mazeret!A$2,LOOKUP(A23,Mazeret!B$2:P$2),IF(E23=Mazeret!A$3,LOOKUP(A23,Mazeret!B$3:P$3),IF(E23=Mazeret!A$4,LOOKUP(A23,Mazeret!B$4:P$4),IF(E23=Mazeret!A$5,LOOKUP(A23,Mazeret!B$5:P$5),IF(E23=Mazeret!A$6,LOOKUP(A23,Mazeret!B$6:P$6),IF(E23=Mazeret!A$7,LOOKUP(A23,Mazeret!B$7:P$7),IF(E23=Mazeret!A$8,LOOKUP(A23,Mazeret!B$8:P$8),IF(E23=Mazeret!A$9,LOOKUP(A23,Mazeret!B$9:P$9),IF(E23=Mazeret!A$10,LOOKUP(A23,Mazeret!B$10:P$10),IF(E23=Mazeret!A$11,LOOKUP(A23,Mazeret!B$11:P$11),IF(E23=Mazeret!A$12,LOOKUP(A23,Mazeret!B$12:P$12),IF(E23=Mazeret!A$13,LOOKUP(A23,Mazeret!B$13:P$13),IF(E23=Mazeret!A$14,LOOKUP(A23,Mazeret!B$14:P$14),IF(E23=Mazeret!A$15,LOOKUP(A23,Mazeret!B$15:P$15),IF(E23=Mazeret!A$16,LOOKUP(A23,Mazeret!B$16:P$16)))))))))))))))),0),A23)</f>
        <v>0</v>
      </c>
      <c r="G23" s="33">
        <f t="shared" si="2"/>
        <v>0</v>
      </c>
      <c r="H23" s="33">
        <f t="shared" si="3"/>
        <v>0</v>
      </c>
      <c r="I23" s="33">
        <f t="shared" si="0"/>
        <v>0</v>
      </c>
      <c r="J23" s="36"/>
      <c r="K23" s="26"/>
      <c r="L23" s="26">
        <f t="shared" si="5"/>
        <v>0</v>
      </c>
      <c r="M23" s="26">
        <f t="shared" si="4"/>
        <v>2</v>
      </c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</row>
    <row r="24" spans="1:35" ht="15" customHeight="1" x14ac:dyDescent="0.25">
      <c r="A24" s="1">
        <v>23</v>
      </c>
      <c r="B24" s="12">
        <f t="shared" si="1"/>
        <v>43884</v>
      </c>
      <c r="C24" s="13" t="s">
        <v>36</v>
      </c>
      <c r="D24" s="14">
        <v>5</v>
      </c>
      <c r="E24" s="34" t="str">
        <f>IFERROR(CHOOSE(D24,Mazeret!A$2,Mazeret!A$3,Mazeret!A$4,Mazeret!A$5,Mazeret!A$6,Mazeret!A$7,Mazeret!A$8,Mazeret!A$9,Mazeret!A$10,Mazeret!A$11,Mazeret!A$12,Mazeret!A$13,Mazeret!A$14,Mazeret!A$15,Mazeret!A$16,),0)</f>
        <v>Eyşan</v>
      </c>
      <c r="F24" s="35">
        <f>DELTA(IFERROR(IF(E24=Mazeret!A$2,LOOKUP(A24,Mazeret!B$2:P$2),IF(E24=Mazeret!A$3,LOOKUP(A24,Mazeret!B$3:P$3),IF(E24=Mazeret!A$4,LOOKUP(A24,Mazeret!B$4:P$4),IF(E24=Mazeret!A$5,LOOKUP(A24,Mazeret!B$5:P$5),IF(E24=Mazeret!A$6,LOOKUP(A24,Mazeret!B$6:P$6),IF(E24=Mazeret!A$7,LOOKUP(A24,Mazeret!B$7:P$7),IF(E24=Mazeret!A$8,LOOKUP(A24,Mazeret!B$8:P$8),IF(E24=Mazeret!A$9,LOOKUP(A24,Mazeret!B$9:P$9),IF(E24=Mazeret!A$10,LOOKUP(A24,Mazeret!B$10:P$10),IF(E24=Mazeret!A$11,LOOKUP(A24,Mazeret!B$11:P$11),IF(E24=Mazeret!A$12,LOOKUP(A24,Mazeret!B$12:P$12),IF(E24=Mazeret!A$13,LOOKUP(A24,Mazeret!B$13:P$13),IF(E24=Mazeret!A$14,LOOKUP(A24,Mazeret!B$14:P$14),IF(E24=Mazeret!A$15,LOOKUP(A24,Mazeret!B$15:P$15),IF(E24=Mazeret!A$16,LOOKUP(A24,Mazeret!B$16:P$16)))))))))))))))),0),A24)</f>
        <v>0</v>
      </c>
      <c r="G24" s="33">
        <f t="shared" si="2"/>
        <v>0</v>
      </c>
      <c r="H24" s="33">
        <f t="shared" si="3"/>
        <v>0</v>
      </c>
      <c r="I24" s="33">
        <f t="shared" si="0"/>
        <v>0</v>
      </c>
      <c r="J24" s="36"/>
      <c r="K24" s="26"/>
      <c r="L24" s="26">
        <f t="shared" si="5"/>
        <v>0</v>
      </c>
      <c r="M24" s="26">
        <f t="shared" si="4"/>
        <v>2</v>
      </c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</row>
    <row r="25" spans="1:35" ht="15" customHeight="1" x14ac:dyDescent="0.25">
      <c r="A25" s="1">
        <v>24</v>
      </c>
      <c r="B25" s="12">
        <f t="shared" si="1"/>
        <v>43885</v>
      </c>
      <c r="C25" s="13" t="s">
        <v>37</v>
      </c>
      <c r="D25" s="14">
        <v>8</v>
      </c>
      <c r="E25" s="34" t="str">
        <f>IFERROR(CHOOSE(D25,Mazeret!A$2,Mazeret!A$3,Mazeret!A$4,Mazeret!A$5,Mazeret!A$6,Mazeret!A$7,Mazeret!A$8,Mazeret!A$9,Mazeret!A$10,Mazeret!A$11,Mazeret!A$12,Mazeret!A$13,Mazeret!A$14,Mazeret!A$15,Mazeret!A$16,),0)</f>
        <v>Mehmet</v>
      </c>
      <c r="F25" s="35">
        <f>DELTA(IFERROR(IF(E25=Mazeret!A$2,LOOKUP(A25,Mazeret!B$2:P$2),IF(E25=Mazeret!A$3,LOOKUP(A25,Mazeret!B$3:P$3),IF(E25=Mazeret!A$4,LOOKUP(A25,Mazeret!B$4:P$4),IF(E25=Mazeret!A$5,LOOKUP(A25,Mazeret!B$5:P$5),IF(E25=Mazeret!A$6,LOOKUP(A25,Mazeret!B$6:P$6),IF(E25=Mazeret!A$7,LOOKUP(A25,Mazeret!B$7:P$7),IF(E25=Mazeret!A$8,LOOKUP(A25,Mazeret!B$8:P$8),IF(E25=Mazeret!A$9,LOOKUP(A25,Mazeret!B$9:P$9),IF(E25=Mazeret!A$10,LOOKUP(A25,Mazeret!B$10:P$10),IF(E25=Mazeret!A$11,LOOKUP(A25,Mazeret!B$11:P$11),IF(E25=Mazeret!A$12,LOOKUP(A25,Mazeret!B$12:P$12),IF(E25=Mazeret!A$13,LOOKUP(A25,Mazeret!B$13:P$13),IF(E25=Mazeret!A$14,LOOKUP(A25,Mazeret!B$14:P$14),IF(E25=Mazeret!A$15,LOOKUP(A25,Mazeret!B$15:P$15),IF(E25=Mazeret!A$16,LOOKUP(A25,Mazeret!B$16:P$16)))))))))))))))),0),A25)</f>
        <v>0</v>
      </c>
      <c r="G25" s="33">
        <f t="shared" si="2"/>
        <v>0</v>
      </c>
      <c r="H25" s="33">
        <f t="shared" si="3"/>
        <v>0</v>
      </c>
      <c r="I25" s="33">
        <f t="shared" si="0"/>
        <v>0</v>
      </c>
      <c r="J25" s="36"/>
      <c r="K25" s="26"/>
      <c r="L25" s="26">
        <f t="shared" si="5"/>
        <v>0</v>
      </c>
      <c r="M25" s="26">
        <f t="shared" si="4"/>
        <v>2</v>
      </c>
      <c r="N25" s="26"/>
      <c r="O25" s="26"/>
      <c r="P25" s="26"/>
      <c r="Q25" s="26"/>
      <c r="R25" s="26"/>
      <c r="S25" s="26"/>
      <c r="T25" s="26"/>
      <c r="U25" s="26"/>
      <c r="W25" s="26">
        <f>SUM(COUNTIFS(Program!C$2:'Program'!C$32,{"Cumartesi"},Program!M$2:'Program'!M$32,MONTH(Program!B2)),COUNTIFS(Program!C$2:'Program'!C$32,{"Pazar"},Program!M$2:'Program'!M$32,MONTH(Program!B2)))</f>
        <v>8</v>
      </c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</row>
    <row r="26" spans="1:35" ht="15.75" customHeight="1" x14ac:dyDescent="0.25">
      <c r="A26" s="1">
        <v>25</v>
      </c>
      <c r="B26" s="12">
        <f t="shared" si="1"/>
        <v>43886</v>
      </c>
      <c r="C26" s="13" t="s">
        <v>38</v>
      </c>
      <c r="D26" s="14">
        <v>5</v>
      </c>
      <c r="E26" s="34" t="str">
        <f>IFERROR(CHOOSE(D26,Mazeret!A$2,Mazeret!A$3,Mazeret!A$4,Mazeret!A$5,Mazeret!A$6,Mazeret!A$7,Mazeret!A$8,Mazeret!A$9,Mazeret!A$10,Mazeret!A$11,Mazeret!A$12,Mazeret!A$13,Mazeret!A$14,Mazeret!A$15,Mazeret!A$16,),0)</f>
        <v>Eyşan</v>
      </c>
      <c r="F26" s="35">
        <f>DELTA(IFERROR(IF(E26=Mazeret!A$2,LOOKUP(A26,Mazeret!B$2:P$2),IF(E26=Mazeret!A$3,LOOKUP(A26,Mazeret!B$3:P$3),IF(E26=Mazeret!A$4,LOOKUP(A26,Mazeret!B$4:P$4),IF(E26=Mazeret!A$5,LOOKUP(A26,Mazeret!B$5:P$5),IF(E26=Mazeret!A$6,LOOKUP(A26,Mazeret!B$6:P$6),IF(E26=Mazeret!A$7,LOOKUP(A26,Mazeret!B$7:P$7),IF(E26=Mazeret!A$8,LOOKUP(A26,Mazeret!B$8:P$8),IF(E26=Mazeret!A$9,LOOKUP(A26,Mazeret!B$9:P$9),IF(E26=Mazeret!A$10,LOOKUP(A26,Mazeret!B$10:P$10),IF(E26=Mazeret!A$11,LOOKUP(A26,Mazeret!B$11:P$11),IF(E26=Mazeret!A$12,LOOKUP(A26,Mazeret!B$12:P$12),IF(E26=Mazeret!A$13,LOOKUP(A26,Mazeret!B$13:P$13),IF(E26=Mazeret!A$14,LOOKUP(A26,Mazeret!B$14:P$14),IF(E26=Mazeret!A$15,LOOKUP(A26,Mazeret!B$15:P$15),IF(E26=Mazeret!A$16,LOOKUP(A26,Mazeret!B$16:P$16)))))))))))))))),0),A26)</f>
        <v>0</v>
      </c>
      <c r="G26" s="33">
        <f t="shared" si="2"/>
        <v>0</v>
      </c>
      <c r="H26" s="33">
        <f t="shared" si="3"/>
        <v>0</v>
      </c>
      <c r="I26" s="33">
        <f t="shared" si="0"/>
        <v>0</v>
      </c>
      <c r="J26" s="36"/>
      <c r="K26" s="26"/>
      <c r="L26" s="26">
        <f t="shared" si="5"/>
        <v>0</v>
      </c>
      <c r="M26" s="26">
        <f t="shared" si="4"/>
        <v>2</v>
      </c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</row>
    <row r="27" spans="1:35" x14ac:dyDescent="0.25">
      <c r="A27" s="1">
        <v>26</v>
      </c>
      <c r="B27" s="12">
        <f t="shared" si="1"/>
        <v>43887</v>
      </c>
      <c r="C27" s="13" t="s">
        <v>39</v>
      </c>
      <c r="D27" s="14">
        <v>1</v>
      </c>
      <c r="E27" s="34" t="str">
        <f>IFERROR(CHOOSE(D27,Mazeret!A$2,Mazeret!A$3,Mazeret!A$4,Mazeret!A$5,Mazeret!A$6,Mazeret!A$7,Mazeret!A$8,Mazeret!A$9,Mazeret!A$10,Mazeret!A$11,Mazeret!A$12,Mazeret!A$13,Mazeret!A$14,Mazeret!A$15,Mazeret!A$16,),0)</f>
        <v>Ali</v>
      </c>
      <c r="F27" s="35">
        <f>DELTA(IFERROR(IF(E27=Mazeret!A$2,LOOKUP(A27,Mazeret!B$2:P$2),IF(E27=Mazeret!A$3,LOOKUP(A27,Mazeret!B$3:P$3),IF(E27=Mazeret!A$4,LOOKUP(A27,Mazeret!B$4:P$4),IF(E27=Mazeret!A$5,LOOKUP(A27,Mazeret!B$5:P$5),IF(E27=Mazeret!A$6,LOOKUP(A27,Mazeret!B$6:P$6),IF(E27=Mazeret!A$7,LOOKUP(A27,Mazeret!B$7:P$7),IF(E27=Mazeret!A$8,LOOKUP(A27,Mazeret!B$8:P$8),IF(E27=Mazeret!A$9,LOOKUP(A27,Mazeret!B$9:P$9),IF(E27=Mazeret!A$10,LOOKUP(A27,Mazeret!B$10:P$10),IF(E27=Mazeret!A$11,LOOKUP(A27,Mazeret!B$11:P$11),IF(E27=Mazeret!A$12,LOOKUP(A27,Mazeret!B$12:P$12),IF(E27=Mazeret!A$13,LOOKUP(A27,Mazeret!B$13:P$13),IF(E27=Mazeret!A$14,LOOKUP(A27,Mazeret!B$14:P$14),IF(E27=Mazeret!A$15,LOOKUP(A27,Mazeret!B$15:P$15),IF(E27=Mazeret!A$16,LOOKUP(A27,Mazeret!B$16:P$16)))))))))))))))),0),A27)</f>
        <v>0</v>
      </c>
      <c r="G27" s="33">
        <f t="shared" si="2"/>
        <v>0</v>
      </c>
      <c r="H27" s="33">
        <f t="shared" si="3"/>
        <v>0</v>
      </c>
      <c r="I27" s="33">
        <f t="shared" si="0"/>
        <v>0</v>
      </c>
      <c r="J27" s="36"/>
      <c r="K27" s="26"/>
      <c r="L27" s="26">
        <f t="shared" si="5"/>
        <v>0</v>
      </c>
      <c r="M27" s="26">
        <f t="shared" si="4"/>
        <v>2</v>
      </c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35" x14ac:dyDescent="0.25">
      <c r="A28" s="1">
        <v>27</v>
      </c>
      <c r="B28" s="12">
        <f t="shared" si="1"/>
        <v>43888</v>
      </c>
      <c r="C28" s="13" t="s">
        <v>40</v>
      </c>
      <c r="D28" s="14">
        <v>2</v>
      </c>
      <c r="E28" s="34" t="str">
        <f>IFERROR(CHOOSE(D28,Mazeret!A$2,Mazeret!A$3,Mazeret!A$4,Mazeret!A$5,Mazeret!A$6,Mazeret!A$7,Mazeret!A$8,Mazeret!A$9,Mazeret!A$10,Mazeret!A$11,Mazeret!A$12,Mazeret!A$13,Mazeret!A$14,Mazeret!A$15,Mazeret!A$16,),0)</f>
        <v>Veli</v>
      </c>
      <c r="F28" s="35">
        <f>DELTA(IFERROR(IF(E28=Mazeret!A$2,LOOKUP(A28,Mazeret!B$2:P$2),IF(E28=Mazeret!A$3,LOOKUP(A28,Mazeret!B$3:P$3),IF(E28=Mazeret!A$4,LOOKUP(A28,Mazeret!B$4:P$4),IF(E28=Mazeret!A$5,LOOKUP(A28,Mazeret!B$5:P$5),IF(E28=Mazeret!A$6,LOOKUP(A28,Mazeret!B$6:P$6),IF(E28=Mazeret!A$7,LOOKUP(A28,Mazeret!B$7:P$7),IF(E28=Mazeret!A$8,LOOKUP(A28,Mazeret!B$8:P$8),IF(E28=Mazeret!A$9,LOOKUP(A28,Mazeret!B$9:P$9),IF(E28=Mazeret!A$10,LOOKUP(A28,Mazeret!B$10:P$10),IF(E28=Mazeret!A$11,LOOKUP(A28,Mazeret!B$11:P$11),IF(E28=Mazeret!A$12,LOOKUP(A28,Mazeret!B$12:P$12),IF(E28=Mazeret!A$13,LOOKUP(A28,Mazeret!B$13:P$13),IF(E28=Mazeret!A$14,LOOKUP(A28,Mazeret!B$14:P$14),IF(E28=Mazeret!A$15,LOOKUP(A28,Mazeret!B$15:P$15),IF(E28=Mazeret!A$16,LOOKUP(A28,Mazeret!B$16:P$16)))))))))))))))),0),A28)</f>
        <v>0</v>
      </c>
      <c r="G28" s="33">
        <f t="shared" si="2"/>
        <v>0</v>
      </c>
      <c r="H28" s="33">
        <f t="shared" si="3"/>
        <v>0</v>
      </c>
      <c r="I28" s="33">
        <f t="shared" si="0"/>
        <v>0</v>
      </c>
      <c r="J28" s="36"/>
      <c r="K28" s="26"/>
      <c r="L28" s="26">
        <f t="shared" si="5"/>
        <v>0</v>
      </c>
      <c r="M28" s="26">
        <f t="shared" si="4"/>
        <v>2</v>
      </c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</row>
    <row r="29" spans="1:35" x14ac:dyDescent="0.25">
      <c r="A29" s="1">
        <v>28</v>
      </c>
      <c r="B29" s="12">
        <f t="shared" si="1"/>
        <v>43889</v>
      </c>
      <c r="C29" s="13" t="s">
        <v>41</v>
      </c>
      <c r="D29" s="14">
        <v>4</v>
      </c>
      <c r="E29" s="34" t="str">
        <f>IFERROR(CHOOSE(D29,Mazeret!A$2,Mazeret!A$3,Mazeret!A$4,Mazeret!A$5,Mazeret!A$6,Mazeret!A$7,Mazeret!A$8,Mazeret!A$9,Mazeret!A$10,Mazeret!A$11,Mazeret!A$12,Mazeret!A$13,Mazeret!A$14,Mazeret!A$15,Mazeret!A$16,),0)</f>
        <v>Deniz</v>
      </c>
      <c r="F29" s="35">
        <f>DELTA(IFERROR(IF(E29=Mazeret!A$2,LOOKUP(A29,Mazeret!B$2:P$2),IF(E29=Mazeret!A$3,LOOKUP(A29,Mazeret!B$3:P$3),IF(E29=Mazeret!A$4,LOOKUP(A29,Mazeret!B$4:P$4),IF(E29=Mazeret!A$5,LOOKUP(A29,Mazeret!B$5:P$5),IF(E29=Mazeret!A$6,LOOKUP(A29,Mazeret!B$6:P$6),IF(E29=Mazeret!A$7,LOOKUP(A29,Mazeret!B$7:P$7),IF(E29=Mazeret!A$8,LOOKUP(A29,Mazeret!B$8:P$8),IF(E29=Mazeret!A$9,LOOKUP(A29,Mazeret!B$9:P$9),IF(E29=Mazeret!A$10,LOOKUP(A29,Mazeret!B$10:P$10),IF(E29=Mazeret!A$11,LOOKUP(A29,Mazeret!B$11:P$11),IF(E29=Mazeret!A$12,LOOKUP(A29,Mazeret!B$12:P$12),IF(E29=Mazeret!A$13,LOOKUP(A29,Mazeret!B$13:P$13),IF(E29=Mazeret!A$14,LOOKUP(A29,Mazeret!B$14:P$14),IF(E29=Mazeret!A$15,LOOKUP(A29,Mazeret!B$15:P$15),IF(E29=Mazeret!A$16,LOOKUP(A29,Mazeret!B$16:P$16)))))))))))))))),0),A29)</f>
        <v>0</v>
      </c>
      <c r="G29" s="33">
        <f t="shared" ref="G29:G31" si="11">IF(E29=0,0,IF(E29=E28,1,0))</f>
        <v>0</v>
      </c>
      <c r="H29" s="33">
        <f t="shared" si="3"/>
        <v>0</v>
      </c>
      <c r="I29" s="33">
        <f t="shared" si="0"/>
        <v>0</v>
      </c>
      <c r="J29" s="36"/>
      <c r="K29" s="26"/>
      <c r="L29" s="26">
        <f t="shared" si="5"/>
        <v>0</v>
      </c>
      <c r="M29" s="26">
        <f t="shared" si="4"/>
        <v>2</v>
      </c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</row>
    <row r="30" spans="1:35" x14ac:dyDescent="0.25">
      <c r="A30" s="1">
        <v>29</v>
      </c>
      <c r="B30" s="12">
        <f t="shared" si="1"/>
        <v>43890</v>
      </c>
      <c r="C30" s="13" t="s">
        <v>35</v>
      </c>
      <c r="D30" s="14">
        <v>2</v>
      </c>
      <c r="E30" s="34" t="str">
        <f>IFERROR(CHOOSE(D30,Mazeret!A$2,Mazeret!A$3,Mazeret!A$4,Mazeret!A$5,Mazeret!A$6,Mazeret!A$7,Mazeret!A$8,Mazeret!A$9,Mazeret!A$10,Mazeret!A$11,Mazeret!A$12,Mazeret!A$13,Mazeret!A$14,Mazeret!A$15,Mazeret!A$16,),0)</f>
        <v>Veli</v>
      </c>
      <c r="F30" s="35">
        <f>DELTA(IFERROR(IF(E30=Mazeret!A$2,LOOKUP(A30,Mazeret!B$2:P$2),IF(E30=Mazeret!A$3,LOOKUP(A30,Mazeret!B$3:P$3),IF(E30=Mazeret!A$4,LOOKUP(A30,Mazeret!B$4:P$4),IF(E30=Mazeret!A$5,LOOKUP(A30,Mazeret!B$5:P$5),IF(E30=Mazeret!A$6,LOOKUP(A30,Mazeret!B$6:P$6),IF(E30=Mazeret!A$7,LOOKUP(A30,Mazeret!B$7:P$7),IF(E30=Mazeret!A$8,LOOKUP(A30,Mazeret!B$8:P$8),IF(E30=Mazeret!A$9,LOOKUP(A30,Mazeret!B$9:P$9),IF(E30=Mazeret!A$10,LOOKUP(A30,Mazeret!B$10:P$10),IF(E30=Mazeret!A$11,LOOKUP(A30,Mazeret!B$11:P$11),IF(E30=Mazeret!A$12,LOOKUP(A30,Mazeret!B$12:P$12),IF(E30=Mazeret!A$13,LOOKUP(A30,Mazeret!B$13:P$13),IF(E30=Mazeret!A$14,LOOKUP(A30,Mazeret!B$14:P$14),IF(E30=Mazeret!A$15,LOOKUP(A30,Mazeret!B$15:P$15),IF(E30=Mazeret!A$16,LOOKUP(A30,Mazeret!B$16:P$16)))))))))))))))),0),A30)</f>
        <v>0</v>
      </c>
      <c r="G30" s="33">
        <f t="shared" si="11"/>
        <v>0</v>
      </c>
      <c r="H30" s="33">
        <f t="shared" si="3"/>
        <v>0</v>
      </c>
      <c r="I30" s="33">
        <f t="shared" si="0"/>
        <v>0</v>
      </c>
      <c r="J30" s="36"/>
      <c r="K30" s="26"/>
      <c r="L30" s="26">
        <f t="shared" si="5"/>
        <v>0</v>
      </c>
      <c r="M30" s="26">
        <f t="shared" si="4"/>
        <v>2</v>
      </c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</row>
    <row r="31" spans="1:35" x14ac:dyDescent="0.25">
      <c r="A31" s="1">
        <v>30</v>
      </c>
      <c r="B31" s="12">
        <f t="shared" si="1"/>
        <v>43891</v>
      </c>
      <c r="C31" s="13" t="s">
        <v>36</v>
      </c>
      <c r="D31" s="14"/>
      <c r="E31" s="34">
        <f>IFERROR(CHOOSE(D31,Mazeret!A$2,Mazeret!A$3,Mazeret!A$4,Mazeret!A$5,Mazeret!A$6,Mazeret!A$7,Mazeret!A$8,Mazeret!A$9,Mazeret!A$10,Mazeret!A$11,Mazeret!A$12,Mazeret!A$13,Mazeret!A$14,Mazeret!A$15,Mazeret!A$16,),0)</f>
        <v>0</v>
      </c>
      <c r="F31" s="35" t="e">
        <f>DELTA(IFERROR(IF(E31=Mazeret!A$2,LOOKUP(A31,Mazeret!B$2:P$2),IF(E31=Mazeret!A$3,LOOKUP(A31,Mazeret!B$3:P$3),IF(E31=Mazeret!A$4,LOOKUP(A31,Mazeret!B$4:P$4),IF(E31=Mazeret!A$5,LOOKUP(A31,Mazeret!B$5:P$5),IF(E31=Mazeret!A$6,LOOKUP(A31,Mazeret!B$6:P$6),IF(E31=Mazeret!A$7,LOOKUP(A31,Mazeret!B$7:P$7),IF(E31=Mazeret!A$8,LOOKUP(A31,Mazeret!B$8:P$8),IF(E31=Mazeret!A$9,LOOKUP(A31,Mazeret!B$9:P$9),IF(E31=Mazeret!A$10,LOOKUP(A31,Mazeret!B$10:P$10),IF(E31=Mazeret!A$11,LOOKUP(A31,Mazeret!B$11:P$11),IF(E31=Mazeret!A$12,LOOKUP(A31,Mazeret!B$12:P$12),IF(E31=Mazeret!A$13,LOOKUP(A31,Mazeret!B$13:P$13),IF(E31=Mazeret!A$14,LOOKUP(A31,Mazeret!B$14:P$14),IF(E31=Mazeret!A$15,LOOKUP(A31,Mazeret!B$15:P$15),IF(E31=Mazeret!A$16,LOOKUP(A31,Mazeret!B$16:P$16)))))))))))))))),0),A31)</f>
        <v>#VALUE!</v>
      </c>
      <c r="G31" s="33">
        <f t="shared" si="11"/>
        <v>0</v>
      </c>
      <c r="H31" s="33" t="e">
        <f t="shared" si="3"/>
        <v>#N/A</v>
      </c>
      <c r="I31" s="33">
        <f t="shared" si="0"/>
        <v>0</v>
      </c>
      <c r="J31" s="36"/>
      <c r="K31" s="26"/>
      <c r="L31" s="26">
        <f t="shared" si="5"/>
        <v>1</v>
      </c>
      <c r="M31" s="26">
        <f t="shared" si="4"/>
        <v>3</v>
      </c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</row>
    <row r="32" spans="1:35" ht="15.75" thickBot="1" x14ac:dyDescent="0.3">
      <c r="A32" s="1">
        <v>31</v>
      </c>
      <c r="B32" s="15">
        <f t="shared" si="1"/>
        <v>43892</v>
      </c>
      <c r="C32" s="16" t="s">
        <v>37</v>
      </c>
      <c r="D32" s="17"/>
      <c r="E32" s="38">
        <f>IFERROR(CHOOSE(D32,Mazeret!A$2,Mazeret!A$3,Mazeret!A$4,Mazeret!A$5,Mazeret!A$6,Mazeret!A$7,Mazeret!A$8,Mazeret!A$9,Mazeret!A$10,Mazeret!A$11,Mazeret!A$12,Mazeret!A$13,Mazeret!A$14,Mazeret!A$15,Mazeret!A$16,),0)</f>
        <v>0</v>
      </c>
      <c r="F32" s="35" t="e">
        <f>DELTA(IFERROR(IF(E32=Mazeret!A$2,LOOKUP(A32,Mazeret!B$2:P$2),IF(E32=Mazeret!A$3,LOOKUP(A32,Mazeret!B$3:P$3),IF(E32=Mazeret!A$4,LOOKUP(A32,Mazeret!B$4:P$4),IF(E32=Mazeret!A$5,LOOKUP(A32,Mazeret!B$5:P$5),IF(E32=Mazeret!A$6,LOOKUP(A32,Mazeret!B$6:P$6),IF(E32=Mazeret!A$7,LOOKUP(A32,Mazeret!B$7:P$7),IF(E32=Mazeret!A$8,LOOKUP(A32,Mazeret!B$8:P$8),IF(E32=Mazeret!A$9,LOOKUP(A32,Mazeret!B$9:P$9),IF(E32=Mazeret!A$10,LOOKUP(A32,Mazeret!B$10:P$10),IF(E32=Mazeret!A$11,LOOKUP(A32,Mazeret!B$11:P$11),IF(E32=Mazeret!A$12,LOOKUP(A32,Mazeret!B$12:P$12),IF(E32=Mazeret!A$13,LOOKUP(A32,Mazeret!B$13:P$13),IF(E32=Mazeret!A$14,LOOKUP(A32,Mazeret!B$14:P$14),IF(E32=Mazeret!A$15,LOOKUP(A32,Mazeret!B$15:P$15),IF(E32=Mazeret!A$16,LOOKUP(A32,Mazeret!B$16:P$16)))))))))))))))),0),A32)</f>
        <v>#VALUE!</v>
      </c>
      <c r="G32" s="33">
        <f>IF(E32=0,0,IF(E32=E31,1,0))</f>
        <v>0</v>
      </c>
      <c r="H32" s="33" t="e">
        <f t="shared" si="3"/>
        <v>#N/A</v>
      </c>
      <c r="I32" s="33" t="e">
        <f t="shared" si="0"/>
        <v>#N/A</v>
      </c>
      <c r="J32" s="36"/>
      <c r="K32" s="26"/>
      <c r="L32" s="26">
        <f>MONTH(B32)-MONTH(B31)</f>
        <v>0</v>
      </c>
      <c r="M32" s="26">
        <f t="shared" si="4"/>
        <v>3</v>
      </c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</row>
    <row r="33" spans="1:35" x14ac:dyDescent="0.25">
      <c r="A33" s="18"/>
      <c r="B33" s="18"/>
      <c r="C33" s="18"/>
      <c r="D33" s="18"/>
      <c r="E33" s="39"/>
      <c r="F33" s="39" t="e">
        <f>IF(SUM(F2:F32)&gt;0,1,0)</f>
        <v>#VALUE!</v>
      </c>
      <c r="G33" s="39">
        <f>IF(SUM(G2:G32)&gt;0,1,0)</f>
        <v>0</v>
      </c>
      <c r="H33" s="39"/>
      <c r="I33" s="39"/>
      <c r="J33" s="36"/>
      <c r="K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</row>
    <row r="34" spans="1:35" x14ac:dyDescent="0.25">
      <c r="A34" s="18"/>
      <c r="B34" s="18"/>
      <c r="C34" s="18"/>
      <c r="D34" s="18"/>
      <c r="E34" s="18"/>
      <c r="F34" s="18"/>
      <c r="G34" s="18"/>
      <c r="H34" s="18"/>
      <c r="I34" s="18"/>
    </row>
    <row r="35" spans="1:35" x14ac:dyDescent="0.25">
      <c r="A35" s="18"/>
      <c r="B35" s="18"/>
      <c r="C35" s="18"/>
      <c r="D35" s="18"/>
      <c r="E35" s="18"/>
      <c r="F35" s="18"/>
      <c r="G35" s="18"/>
      <c r="H35" s="18"/>
      <c r="I35" s="18"/>
    </row>
    <row r="36" spans="1:35" x14ac:dyDescent="0.25">
      <c r="A36" s="18"/>
      <c r="B36" s="18"/>
      <c r="C36" s="18"/>
      <c r="D36" s="18"/>
      <c r="E36" s="18"/>
      <c r="F36" s="18"/>
      <c r="G36" s="18"/>
      <c r="H36" s="18"/>
      <c r="I36" s="18"/>
    </row>
    <row r="37" spans="1:35" x14ac:dyDescent="0.25">
      <c r="A37" s="18"/>
      <c r="B37" s="18"/>
      <c r="C37" s="18"/>
      <c r="D37" s="18"/>
      <c r="E37" s="18"/>
      <c r="F37" s="18"/>
      <c r="G37" s="18"/>
      <c r="H37" s="18"/>
      <c r="I37" s="18"/>
    </row>
    <row r="38" spans="1:35" x14ac:dyDescent="0.25">
      <c r="A38" s="18"/>
      <c r="B38" s="18"/>
      <c r="C38" s="18"/>
      <c r="D38" s="18"/>
      <c r="E38" s="18"/>
      <c r="F38" s="18"/>
      <c r="G38" s="18"/>
      <c r="H38" s="18"/>
      <c r="I38" s="18"/>
    </row>
    <row r="39" spans="1:35" x14ac:dyDescent="0.25">
      <c r="A39" s="18"/>
      <c r="B39" s="19"/>
      <c r="C39" s="19"/>
      <c r="D39" s="19"/>
      <c r="E39" s="18"/>
      <c r="F39" s="18"/>
      <c r="G39" s="18"/>
      <c r="H39" s="18"/>
      <c r="I39" s="18"/>
    </row>
    <row r="40" spans="1:35" x14ac:dyDescent="0.25">
      <c r="A40" s="18"/>
      <c r="B40" s="18"/>
      <c r="C40" s="18"/>
      <c r="D40" s="18"/>
      <c r="E40" s="18"/>
      <c r="F40" s="18"/>
      <c r="G40" s="18"/>
      <c r="H40" s="18"/>
      <c r="I40" s="18"/>
    </row>
    <row r="41" spans="1:35" x14ac:dyDescent="0.25">
      <c r="A41" s="18"/>
      <c r="B41" s="18"/>
      <c r="C41" s="18"/>
      <c r="D41" s="18"/>
      <c r="E41" s="18"/>
      <c r="F41" s="18"/>
      <c r="G41" s="18"/>
      <c r="H41" s="18"/>
      <c r="I41" s="18"/>
    </row>
    <row r="42" spans="1:35" x14ac:dyDescent="0.25">
      <c r="A42" s="18"/>
      <c r="B42" s="18"/>
      <c r="C42" s="18"/>
      <c r="D42" s="18"/>
      <c r="E42" s="18"/>
      <c r="F42" s="18"/>
      <c r="G42" s="18"/>
      <c r="H42" s="18"/>
      <c r="I42" s="18"/>
    </row>
    <row r="43" spans="1:35" x14ac:dyDescent="0.25">
      <c r="A43" s="18"/>
      <c r="B43" s="18"/>
      <c r="C43" s="18"/>
      <c r="D43" s="18"/>
      <c r="E43" s="18"/>
      <c r="F43" s="18"/>
      <c r="G43" s="18"/>
      <c r="H43" s="18"/>
      <c r="I43" s="18"/>
    </row>
    <row r="50" spans="8:8" x14ac:dyDescent="0.25">
      <c r="H50" s="20"/>
    </row>
  </sheetData>
  <sheetProtection selectLockedCells="1"/>
  <mergeCells count="4">
    <mergeCell ref="X1:AB1"/>
    <mergeCell ref="AC1:AD1"/>
    <mergeCell ref="AE1:AG1"/>
    <mergeCell ref="T1:W1"/>
  </mergeCells>
  <conditionalFormatting sqref="C3:D3">
    <cfRule type="containsText" dxfId="32" priority="20" operator="containsText" text="Cumartesi">
      <formula>NOT(ISERROR(SEARCH("Cumartesi",C3)))</formula>
    </cfRule>
  </conditionalFormatting>
  <conditionalFormatting sqref="B39:D39 B2:D32">
    <cfRule type="containsText" dxfId="31" priority="17" operator="containsText" text="Pazartesi">
      <formula>NOT(ISERROR(SEARCH("Pazartesi",B2)))</formula>
    </cfRule>
    <cfRule type="containsText" dxfId="30" priority="18" operator="containsText" text="Pazar">
      <formula>NOT(ISERROR(SEARCH("Pazar",B2)))</formula>
    </cfRule>
    <cfRule type="containsText" dxfId="29" priority="19" operator="containsText" text="Cumartesi">
      <formula>NOT(ISERROR(SEARCH("Cumartesi",B2)))</formula>
    </cfRule>
  </conditionalFormatting>
  <conditionalFormatting sqref="B2:B32">
    <cfRule type="expression" dxfId="28" priority="16">
      <formula>OR(C2="Cumartesi",C2="Pazar")</formula>
    </cfRule>
  </conditionalFormatting>
  <conditionalFormatting sqref="F2:F32">
    <cfRule type="containsText" dxfId="27" priority="9" operator="containsText" text="1">
      <formula>NOT(ISERROR(SEARCH("1",F2)))</formula>
    </cfRule>
    <cfRule type="containsText" dxfId="26" priority="15" operator="containsText" text="DOĞRU">
      <formula>NOT(ISERROR(SEARCH("DOĞRU",F2)))</formula>
    </cfRule>
  </conditionalFormatting>
  <conditionalFormatting sqref="B39">
    <cfRule type="expression" dxfId="25" priority="11">
      <formula>OR(C39="Cumartesi",C39="Pazar")</formula>
    </cfRule>
  </conditionalFormatting>
  <conditionalFormatting sqref="F39">
    <cfRule type="containsText" dxfId="24" priority="10" operator="containsText" text="DOĞRU">
      <formula>NOT(ISERROR(SEARCH("DOĞRU",F39)))</formula>
    </cfRule>
  </conditionalFormatting>
  <conditionalFormatting sqref="I3:I33 G2:I32">
    <cfRule type="containsText" dxfId="23" priority="8" operator="containsText" text="1">
      <formula>NOT(ISERROR(SEARCH("1",G2)))</formula>
    </cfRule>
  </conditionalFormatting>
  <conditionalFormatting sqref="T18:W18 S3:AI17">
    <cfRule type="expression" dxfId="22" priority="6">
      <formula>"Eğer($AO$28&gt;1;1;0)"</formula>
    </cfRule>
  </conditionalFormatting>
  <conditionalFormatting sqref="AH3:AJ17">
    <cfRule type="containsText" dxfId="21" priority="5" operator="containsText" text="Doğru">
      <formula>NOT(ISERROR(SEARCH("Doğru",AH3)))</formula>
    </cfRule>
  </conditionalFormatting>
  <conditionalFormatting sqref="AL18 F33:I33 I2:I33 K33">
    <cfRule type="cellIs" dxfId="20" priority="4" operator="equal">
      <formula>1</formula>
    </cfRule>
  </conditionalFormatting>
  <conditionalFormatting sqref="T2:AG2">
    <cfRule type="expression" dxfId="19" priority="1">
      <formula>"Eğer($AO$28&gt;1;1;0)"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1:P18"/>
  <sheetViews>
    <sheetView workbookViewId="0">
      <selection activeCell="V9" sqref="V9"/>
    </sheetView>
  </sheetViews>
  <sheetFormatPr defaultRowHeight="15" x14ac:dyDescent="0.25"/>
  <cols>
    <col min="1" max="1" width="27.28515625" customWidth="1"/>
    <col min="2" max="3" width="5" customWidth="1"/>
    <col min="4" max="17" width="4" customWidth="1"/>
    <col min="18" max="18" width="6.140625" bestFit="1" customWidth="1"/>
  </cols>
  <sheetData>
    <row r="1" spans="1:16" ht="24.95" customHeight="1" thickBot="1" x14ac:dyDescent="0.3">
      <c r="A1" s="52" t="s">
        <v>0</v>
      </c>
    </row>
    <row r="2" spans="1:16" ht="24.95" customHeight="1" thickBot="1" x14ac:dyDescent="0.35">
      <c r="A2" s="50" t="str">
        <f>IF(Liste!A3=0,"",Liste!A3)</f>
        <v>Ali</v>
      </c>
      <c r="B2" s="72">
        <v>15</v>
      </c>
      <c r="C2" s="73">
        <v>16</v>
      </c>
      <c r="D2" s="74">
        <v>17</v>
      </c>
      <c r="E2" s="73"/>
      <c r="F2" s="73"/>
      <c r="G2" s="73"/>
      <c r="H2" s="73"/>
      <c r="I2" s="74"/>
      <c r="J2" s="73"/>
      <c r="K2" s="73"/>
      <c r="L2" s="73"/>
      <c r="M2" s="73"/>
      <c r="N2" s="74"/>
      <c r="O2" s="73"/>
      <c r="P2" s="75"/>
    </row>
    <row r="3" spans="1:16" ht="24.95" customHeight="1" thickBot="1" x14ac:dyDescent="0.35">
      <c r="A3" s="51" t="str">
        <f>IF(Liste!A4=0,"",Liste!A4)</f>
        <v>Veli</v>
      </c>
      <c r="B3" s="76"/>
      <c r="C3" s="77"/>
      <c r="D3" s="78"/>
      <c r="E3" s="78"/>
      <c r="F3" s="77"/>
      <c r="G3" s="77"/>
      <c r="H3" s="77"/>
      <c r="I3" s="78"/>
      <c r="J3" s="78"/>
      <c r="K3" s="77"/>
      <c r="L3" s="77"/>
      <c r="M3" s="77"/>
      <c r="N3" s="78"/>
      <c r="O3" s="78"/>
      <c r="P3" s="79"/>
    </row>
    <row r="4" spans="1:16" ht="24.95" customHeight="1" thickBot="1" x14ac:dyDescent="0.35">
      <c r="A4" s="50" t="str">
        <f>IF(Liste!A5=0,"",Liste!A5)</f>
        <v>Can</v>
      </c>
      <c r="B4" s="72">
        <v>15</v>
      </c>
      <c r="C4" s="73"/>
      <c r="D4" s="74"/>
      <c r="E4" s="73"/>
      <c r="F4" s="73"/>
      <c r="G4" s="73"/>
      <c r="H4" s="73"/>
      <c r="I4" s="74"/>
      <c r="J4" s="73"/>
      <c r="K4" s="73"/>
      <c r="L4" s="73"/>
      <c r="M4" s="73"/>
      <c r="N4" s="74"/>
      <c r="O4" s="73"/>
      <c r="P4" s="75"/>
    </row>
    <row r="5" spans="1:16" ht="24.95" customHeight="1" thickBot="1" x14ac:dyDescent="0.35">
      <c r="A5" s="51" t="str">
        <f>IF(Liste!A6=0,"",Liste!A6)</f>
        <v>Deniz</v>
      </c>
      <c r="B5" s="76"/>
      <c r="C5" s="77"/>
      <c r="D5" s="78"/>
      <c r="E5" s="78"/>
      <c r="F5" s="77"/>
      <c r="G5" s="77"/>
      <c r="H5" s="77"/>
      <c r="I5" s="78"/>
      <c r="J5" s="78"/>
      <c r="K5" s="77"/>
      <c r="L5" s="77"/>
      <c r="M5" s="77"/>
      <c r="N5" s="78"/>
      <c r="O5" s="78"/>
      <c r="P5" s="79"/>
    </row>
    <row r="6" spans="1:16" ht="24.95" customHeight="1" thickBot="1" x14ac:dyDescent="0.35">
      <c r="A6" s="50" t="str">
        <f>IF(Liste!A7=0,"",Liste!A7)</f>
        <v>Eyşan</v>
      </c>
      <c r="B6" s="72">
        <v>1</v>
      </c>
      <c r="C6" s="73">
        <v>2</v>
      </c>
      <c r="D6" s="74">
        <v>3</v>
      </c>
      <c r="E6" s="73">
        <v>4</v>
      </c>
      <c r="F6" s="73"/>
      <c r="G6" s="73"/>
      <c r="H6" s="73"/>
      <c r="I6" s="74"/>
      <c r="J6" s="73"/>
      <c r="K6" s="73"/>
      <c r="L6" s="73"/>
      <c r="M6" s="73"/>
      <c r="N6" s="74"/>
      <c r="O6" s="73"/>
      <c r="P6" s="75"/>
    </row>
    <row r="7" spans="1:16" ht="24.95" customHeight="1" thickBot="1" x14ac:dyDescent="0.35">
      <c r="A7" s="51" t="str">
        <f>IF(Liste!A8=0,"",Liste!A8)</f>
        <v>Caner</v>
      </c>
      <c r="B7" s="76"/>
      <c r="C7" s="77"/>
      <c r="D7" s="78"/>
      <c r="E7" s="78"/>
      <c r="F7" s="77"/>
      <c r="G7" s="77"/>
      <c r="H7" s="77"/>
      <c r="I7" s="78"/>
      <c r="J7" s="78"/>
      <c r="K7" s="77"/>
      <c r="L7" s="77"/>
      <c r="M7" s="77"/>
      <c r="N7" s="78"/>
      <c r="O7" s="78"/>
      <c r="P7" s="79"/>
    </row>
    <row r="8" spans="1:16" ht="24.95" customHeight="1" thickBot="1" x14ac:dyDescent="0.35">
      <c r="A8" s="50" t="str">
        <f>IF(Liste!A9=0,"",Liste!A9)</f>
        <v>Ahmet</v>
      </c>
      <c r="B8" s="72">
        <v>27</v>
      </c>
      <c r="C8" s="73">
        <v>3</v>
      </c>
      <c r="D8" s="74">
        <v>4</v>
      </c>
      <c r="E8" s="73"/>
      <c r="F8" s="73"/>
      <c r="G8" s="73"/>
      <c r="H8" s="73"/>
      <c r="I8" s="74"/>
      <c r="J8" s="73"/>
      <c r="K8" s="73"/>
      <c r="L8" s="73"/>
      <c r="M8" s="73"/>
      <c r="N8" s="74"/>
      <c r="O8" s="73"/>
      <c r="P8" s="75"/>
    </row>
    <row r="9" spans="1:16" ht="24.95" customHeight="1" thickBot="1" x14ac:dyDescent="0.35">
      <c r="A9" s="51" t="str">
        <f>IF(Liste!A10=0,"",Liste!A10)</f>
        <v>Mehmet</v>
      </c>
      <c r="B9" s="76">
        <v>2</v>
      </c>
      <c r="C9" s="77">
        <v>3</v>
      </c>
      <c r="D9" s="78">
        <v>4</v>
      </c>
      <c r="E9" s="77"/>
      <c r="F9" s="77"/>
      <c r="G9" s="77"/>
      <c r="H9" s="77"/>
      <c r="I9" s="78"/>
      <c r="J9" s="78"/>
      <c r="K9" s="77"/>
      <c r="L9" s="77"/>
      <c r="M9" s="77"/>
      <c r="N9" s="78"/>
      <c r="O9" s="78"/>
      <c r="P9" s="79"/>
    </row>
    <row r="10" spans="1:16" ht="24.95" customHeight="1" thickBot="1" x14ac:dyDescent="0.35">
      <c r="A10" s="50" t="str">
        <f>IF(Liste!A11=0,"",Liste!A11)</f>
        <v>Merter</v>
      </c>
      <c r="B10" s="72">
        <v>3</v>
      </c>
      <c r="C10" s="73">
        <v>4</v>
      </c>
      <c r="D10" s="74"/>
      <c r="E10" s="73"/>
      <c r="F10" s="73"/>
      <c r="G10" s="73"/>
      <c r="H10" s="73"/>
      <c r="I10" s="74"/>
      <c r="J10" s="73"/>
      <c r="K10" s="73"/>
      <c r="L10" s="73"/>
      <c r="M10" s="73"/>
      <c r="N10" s="74"/>
      <c r="O10" s="73"/>
      <c r="P10" s="75"/>
    </row>
    <row r="11" spans="1:16" ht="24.95" customHeight="1" thickBot="1" x14ac:dyDescent="0.35">
      <c r="A11" s="51" t="str">
        <f>IF(Liste!A12=0,"",Liste!A12)</f>
        <v>Ceren</v>
      </c>
      <c r="B11" s="76">
        <v>25</v>
      </c>
      <c r="C11" s="77">
        <v>26</v>
      </c>
      <c r="D11" s="78">
        <v>27</v>
      </c>
      <c r="E11" s="78">
        <v>28</v>
      </c>
      <c r="F11" s="77"/>
      <c r="G11" s="77"/>
      <c r="H11" s="77"/>
      <c r="I11" s="78"/>
      <c r="J11" s="78"/>
      <c r="K11" s="77"/>
      <c r="L11" s="77"/>
      <c r="M11" s="77"/>
      <c r="N11" s="78"/>
      <c r="O11" s="78"/>
      <c r="P11" s="79"/>
    </row>
    <row r="12" spans="1:16" ht="24.95" customHeight="1" thickBot="1" x14ac:dyDescent="0.35">
      <c r="A12" s="50" t="str">
        <f>IF(Liste!A13=0,"",Liste!A13)</f>
        <v>Damla</v>
      </c>
      <c r="B12" s="72">
        <v>8</v>
      </c>
      <c r="C12" s="73">
        <v>9</v>
      </c>
      <c r="D12" s="74">
        <v>10</v>
      </c>
      <c r="E12" s="73">
        <v>11</v>
      </c>
      <c r="F12" s="73">
        <v>12</v>
      </c>
      <c r="G12" s="73"/>
      <c r="H12" s="73"/>
      <c r="I12" s="74"/>
      <c r="J12" s="73"/>
      <c r="K12" s="73"/>
      <c r="L12" s="73"/>
      <c r="M12" s="73"/>
      <c r="N12" s="74"/>
      <c r="O12" s="73"/>
      <c r="P12" s="75"/>
    </row>
    <row r="13" spans="1:16" ht="24.95" customHeight="1" thickBot="1" x14ac:dyDescent="0.35">
      <c r="A13" s="51" t="str">
        <f>IF(Liste!A14=0,"",Liste!A14)</f>
        <v/>
      </c>
      <c r="B13" s="76"/>
      <c r="C13" s="77"/>
      <c r="D13" s="78"/>
      <c r="E13" s="78"/>
      <c r="F13" s="77"/>
      <c r="G13" s="77"/>
      <c r="H13" s="77"/>
      <c r="I13" s="78"/>
      <c r="J13" s="78"/>
      <c r="K13" s="77"/>
      <c r="L13" s="77"/>
      <c r="M13" s="77"/>
      <c r="N13" s="78"/>
      <c r="O13" s="78"/>
      <c r="P13" s="79"/>
    </row>
    <row r="14" spans="1:16" ht="24.95" customHeight="1" thickBot="1" x14ac:dyDescent="0.35">
      <c r="A14" s="50" t="str">
        <f>IF(Liste!A15=0,"",Liste!A15)</f>
        <v/>
      </c>
      <c r="B14" s="72"/>
      <c r="C14" s="73"/>
      <c r="D14" s="74"/>
      <c r="E14" s="73"/>
      <c r="F14" s="73"/>
      <c r="G14" s="73"/>
      <c r="H14" s="73"/>
      <c r="I14" s="74"/>
      <c r="J14" s="73"/>
      <c r="K14" s="73"/>
      <c r="L14" s="73"/>
      <c r="M14" s="73"/>
      <c r="N14" s="74"/>
      <c r="O14" s="73"/>
      <c r="P14" s="75"/>
    </row>
    <row r="15" spans="1:16" ht="24.95" customHeight="1" thickBot="1" x14ac:dyDescent="0.35">
      <c r="A15" s="51" t="str">
        <f>IF(Liste!A16=0,"",Liste!A16)</f>
        <v/>
      </c>
      <c r="B15" s="76"/>
      <c r="C15" s="77"/>
      <c r="D15" s="78"/>
      <c r="E15" s="78"/>
      <c r="F15" s="77"/>
      <c r="G15" s="77"/>
      <c r="H15" s="77"/>
      <c r="I15" s="78"/>
      <c r="J15" s="78"/>
      <c r="K15" s="77"/>
      <c r="L15" s="77"/>
      <c r="M15" s="77"/>
      <c r="N15" s="78"/>
      <c r="O15" s="78"/>
      <c r="P15" s="79"/>
    </row>
    <row r="16" spans="1:16" ht="24.95" customHeight="1" thickBot="1" x14ac:dyDescent="0.35">
      <c r="A16" s="50" t="str">
        <f>IF(Liste!A17=0,"",Liste!A17)</f>
        <v/>
      </c>
      <c r="B16" s="72"/>
      <c r="C16" s="73"/>
      <c r="D16" s="74"/>
      <c r="E16" s="73"/>
      <c r="F16" s="73"/>
      <c r="G16" s="73"/>
      <c r="H16" s="73"/>
      <c r="I16" s="74"/>
      <c r="J16" s="73"/>
      <c r="K16" s="73"/>
      <c r="L16" s="73"/>
      <c r="M16" s="73"/>
      <c r="N16" s="74"/>
      <c r="O16" s="73"/>
      <c r="P16" s="75"/>
    </row>
    <row r="17" spans="1:1" ht="24.95" customHeight="1" thickBot="1" x14ac:dyDescent="0.35">
      <c r="A17" s="53" t="s">
        <v>9</v>
      </c>
    </row>
    <row r="18" spans="1:1" ht="24.95" customHeight="1" thickBot="1" x14ac:dyDescent="0.3">
      <c r="A18" s="54">
        <f>COUNTA(A2:A16)</f>
        <v>15</v>
      </c>
    </row>
  </sheetData>
  <conditionalFormatting sqref="E3 J3 O3">
    <cfRule type="cellIs" dxfId="18" priority="3" operator="notEqual">
      <formula>$D3</formula>
    </cfRule>
  </conditionalFormatting>
  <conditionalFormatting sqref="E5 E7 E13 E15 J5 J7 J13 J15 O5 O7 O13 O15">
    <cfRule type="cellIs" dxfId="17" priority="1" operator="notEqual">
      <formula>$D5</formula>
    </cfRule>
  </conditionalFormatting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3"/>
  <dimension ref="A1:S218"/>
  <sheetViews>
    <sheetView tabSelected="1" workbookViewId="0">
      <selection activeCell="G17" sqref="G17"/>
    </sheetView>
  </sheetViews>
  <sheetFormatPr defaultRowHeight="15" x14ac:dyDescent="0.25"/>
  <cols>
    <col min="1" max="1" width="40" customWidth="1"/>
    <col min="2" max="2" width="10.7109375" customWidth="1"/>
    <col min="3" max="3" width="10.5703125" bestFit="1" customWidth="1"/>
    <col min="5" max="5" width="12.140625" customWidth="1"/>
    <col min="13" max="13" width="10.42578125" customWidth="1"/>
    <col min="18" max="18" width="13.140625" customWidth="1"/>
    <col min="19" max="19" width="43" customWidth="1"/>
    <col min="20" max="20" width="11.140625" customWidth="1"/>
  </cols>
  <sheetData>
    <row r="1" spans="1:19" ht="32.25" customHeight="1" thickTop="1" thickBot="1" x14ac:dyDescent="0.3">
      <c r="A1" s="57"/>
      <c r="B1" s="84" t="s">
        <v>17</v>
      </c>
      <c r="C1" s="85"/>
      <c r="D1" s="85"/>
      <c r="E1" s="86"/>
      <c r="R1" s="45" t="s">
        <v>34</v>
      </c>
      <c r="S1" s="44" t="s">
        <v>33</v>
      </c>
    </row>
    <row r="2" spans="1:19" ht="24.95" customHeight="1" thickTop="1" thickBot="1" x14ac:dyDescent="0.3">
      <c r="A2" s="69" t="s">
        <v>33</v>
      </c>
      <c r="B2" s="70" t="s">
        <v>22</v>
      </c>
      <c r="C2" s="70" t="s">
        <v>18</v>
      </c>
      <c r="D2" s="70" t="s">
        <v>11</v>
      </c>
      <c r="E2" s="71" t="s">
        <v>14</v>
      </c>
      <c r="F2" s="56"/>
      <c r="R2" s="7">
        <v>43862</v>
      </c>
      <c r="S2" s="40" t="s">
        <v>45</v>
      </c>
    </row>
    <row r="3" spans="1:19" ht="24.95" customHeight="1" thickBot="1" x14ac:dyDescent="0.35">
      <c r="A3" s="67" t="s">
        <v>1</v>
      </c>
      <c r="B3" s="48">
        <v>3</v>
      </c>
      <c r="C3" s="48">
        <v>0</v>
      </c>
      <c r="D3" s="49">
        <f>SUM(B3:C3)</f>
        <v>3</v>
      </c>
      <c r="E3" s="61">
        <f>COUNTIF(Program!E$2:E$32,T(A3))</f>
        <v>3</v>
      </c>
      <c r="R3" s="12">
        <v>43863</v>
      </c>
      <c r="S3" s="41" t="s">
        <v>1</v>
      </c>
    </row>
    <row r="4" spans="1:19" ht="24.95" customHeight="1" thickTop="1" thickBot="1" x14ac:dyDescent="0.35">
      <c r="A4" s="68" t="s">
        <v>2</v>
      </c>
      <c r="B4" s="46">
        <v>3</v>
      </c>
      <c r="C4" s="46">
        <v>0</v>
      </c>
      <c r="D4" s="47">
        <f t="shared" ref="D4:D17" si="0">SUM(B4:C4)</f>
        <v>3</v>
      </c>
      <c r="E4" s="60">
        <f>COUNTIF(Program!E$2:E$32,T(A4))</f>
        <v>3</v>
      </c>
      <c r="I4" s="100" t="s">
        <v>29</v>
      </c>
      <c r="J4" s="101"/>
      <c r="K4" s="101"/>
      <c r="L4" s="100" t="s">
        <v>30</v>
      </c>
      <c r="M4" s="101"/>
      <c r="N4" s="101"/>
      <c r="O4" s="102"/>
      <c r="P4" s="55"/>
      <c r="R4" s="12">
        <v>43864</v>
      </c>
      <c r="S4" s="41" t="s">
        <v>6</v>
      </c>
    </row>
    <row r="5" spans="1:19" ht="24.95" customHeight="1" thickBot="1" x14ac:dyDescent="0.35">
      <c r="A5" s="67" t="s">
        <v>3</v>
      </c>
      <c r="B5" s="48">
        <v>3</v>
      </c>
      <c r="C5" s="48">
        <v>1</v>
      </c>
      <c r="D5" s="49">
        <f t="shared" si="0"/>
        <v>4</v>
      </c>
      <c r="E5" s="59">
        <f>COUNTIF(Program!E$2:E$32,T(A5))</f>
        <v>4</v>
      </c>
      <c r="F5" s="56"/>
      <c r="I5" s="103"/>
      <c r="J5" s="104"/>
      <c r="K5" s="104"/>
      <c r="L5" s="103"/>
      <c r="M5" s="104"/>
      <c r="N5" s="104"/>
      <c r="O5" s="105"/>
      <c r="R5" s="12">
        <v>43865</v>
      </c>
      <c r="S5" s="41" t="s">
        <v>3</v>
      </c>
    </row>
    <row r="6" spans="1:19" ht="24.95" customHeight="1" thickBot="1" x14ac:dyDescent="0.35">
      <c r="A6" s="68" t="s">
        <v>4</v>
      </c>
      <c r="B6" s="46">
        <v>3</v>
      </c>
      <c r="C6" s="46">
        <v>1</v>
      </c>
      <c r="D6" s="47">
        <f t="shared" si="0"/>
        <v>4</v>
      </c>
      <c r="E6" s="58">
        <f>COUNTIF(Program!E$2:E$32,T(A6))</f>
        <v>4</v>
      </c>
      <c r="F6" s="56"/>
      <c r="I6" s="103"/>
      <c r="J6" s="104"/>
      <c r="K6" s="104"/>
      <c r="L6" s="106"/>
      <c r="M6" s="107"/>
      <c r="N6" s="107"/>
      <c r="O6" s="108"/>
      <c r="R6" s="12">
        <v>43866</v>
      </c>
      <c r="S6" s="41" t="s">
        <v>44</v>
      </c>
    </row>
    <row r="7" spans="1:19" ht="24.95" customHeight="1" thickTop="1" thickBot="1" x14ac:dyDescent="0.35">
      <c r="A7" s="67" t="s">
        <v>5</v>
      </c>
      <c r="B7" s="48">
        <v>3</v>
      </c>
      <c r="C7" s="48">
        <v>1</v>
      </c>
      <c r="D7" s="49">
        <f t="shared" si="0"/>
        <v>4</v>
      </c>
      <c r="E7" s="59">
        <f>COUNTIF(Program!E$2:E$32,T(A7))</f>
        <v>4</v>
      </c>
      <c r="F7" s="56"/>
      <c r="H7" s="55"/>
      <c r="I7" s="91">
        <v>2020</v>
      </c>
      <c r="J7" s="92"/>
      <c r="K7" s="93"/>
      <c r="L7" s="91">
        <v>2</v>
      </c>
      <c r="M7" s="92"/>
      <c r="N7" s="92"/>
      <c r="O7" s="93"/>
      <c r="R7" s="12">
        <v>43867</v>
      </c>
      <c r="S7" s="41" t="s">
        <v>7</v>
      </c>
    </row>
    <row r="8" spans="1:19" ht="24.95" customHeight="1" thickBot="1" x14ac:dyDescent="0.35">
      <c r="A8" s="68" t="s">
        <v>6</v>
      </c>
      <c r="B8" s="46">
        <v>1</v>
      </c>
      <c r="C8" s="46">
        <v>1</v>
      </c>
      <c r="D8" s="47">
        <f t="shared" si="0"/>
        <v>2</v>
      </c>
      <c r="E8" s="60">
        <f>COUNTIF(Program!E$2:E$32,T(A8))</f>
        <v>2</v>
      </c>
      <c r="H8" s="55"/>
      <c r="I8" s="94"/>
      <c r="J8" s="95"/>
      <c r="K8" s="96"/>
      <c r="L8" s="94"/>
      <c r="M8" s="95"/>
      <c r="N8" s="95"/>
      <c r="O8" s="96"/>
      <c r="R8" s="12">
        <v>43868</v>
      </c>
      <c r="S8" s="41" t="s">
        <v>5</v>
      </c>
    </row>
    <row r="9" spans="1:19" ht="24.95" customHeight="1" thickBot="1" x14ac:dyDescent="0.35">
      <c r="A9" s="67" t="s">
        <v>7</v>
      </c>
      <c r="B9" s="48">
        <v>1</v>
      </c>
      <c r="C9" s="48">
        <v>1</v>
      </c>
      <c r="D9" s="49">
        <f t="shared" si="0"/>
        <v>2</v>
      </c>
      <c r="E9" s="59">
        <f>COUNTIF(Program!E$2:E$32,T(A9))</f>
        <v>2</v>
      </c>
      <c r="F9" s="56"/>
      <c r="I9" s="97"/>
      <c r="J9" s="98"/>
      <c r="K9" s="99"/>
      <c r="L9" s="97"/>
      <c r="M9" s="98"/>
      <c r="N9" s="98"/>
      <c r="O9" s="99"/>
      <c r="R9" s="12">
        <v>43869</v>
      </c>
      <c r="S9" s="41" t="s">
        <v>2</v>
      </c>
    </row>
    <row r="10" spans="1:19" ht="24.95" customHeight="1" thickBot="1" x14ac:dyDescent="0.35">
      <c r="A10" s="68" t="s">
        <v>8</v>
      </c>
      <c r="B10" s="46">
        <v>1</v>
      </c>
      <c r="C10" s="46">
        <v>1</v>
      </c>
      <c r="D10" s="47">
        <f t="shared" si="0"/>
        <v>2</v>
      </c>
      <c r="E10" s="58">
        <f>COUNTIF(Program!E$2:E$32,T(A10))</f>
        <v>2</v>
      </c>
      <c r="F10" s="56"/>
      <c r="R10" s="12">
        <v>43870</v>
      </c>
      <c r="S10" s="41" t="s">
        <v>1</v>
      </c>
    </row>
    <row r="11" spans="1:19" ht="24.95" customHeight="1" thickBot="1" x14ac:dyDescent="0.35">
      <c r="A11" s="67" t="s">
        <v>44</v>
      </c>
      <c r="B11" s="48">
        <v>1</v>
      </c>
      <c r="C11" s="48">
        <v>1</v>
      </c>
      <c r="D11" s="49">
        <f t="shared" si="0"/>
        <v>2</v>
      </c>
      <c r="E11" s="59">
        <f>COUNTIF(Program!E$2:E$32,T(A11))</f>
        <v>2</v>
      </c>
      <c r="F11" s="56"/>
      <c r="R11" s="12">
        <v>43871</v>
      </c>
      <c r="S11" s="41" t="s">
        <v>4</v>
      </c>
    </row>
    <row r="12" spans="1:19" ht="24.95" customHeight="1" thickBot="1" x14ac:dyDescent="0.35">
      <c r="A12" s="68" t="s">
        <v>45</v>
      </c>
      <c r="B12" s="46">
        <v>1</v>
      </c>
      <c r="C12" s="46">
        <v>1</v>
      </c>
      <c r="D12" s="47">
        <f t="shared" si="0"/>
        <v>2</v>
      </c>
      <c r="E12" s="58">
        <f>COUNTIF(Program!E$2:E$32,T(A12))</f>
        <v>2</v>
      </c>
      <c r="F12" s="56"/>
      <c r="R12" s="12">
        <v>43872</v>
      </c>
      <c r="S12" s="41" t="s">
        <v>7</v>
      </c>
    </row>
    <row r="13" spans="1:19" ht="24.95" customHeight="1" thickBot="1" x14ac:dyDescent="0.35">
      <c r="A13" s="67" t="s">
        <v>46</v>
      </c>
      <c r="B13" s="48">
        <v>1</v>
      </c>
      <c r="C13" s="48"/>
      <c r="D13" s="49">
        <f t="shared" si="0"/>
        <v>1</v>
      </c>
      <c r="E13" s="59">
        <f>COUNTIF(Program!E$2:E$32,T(A13))</f>
        <v>1</v>
      </c>
      <c r="F13" s="56"/>
      <c r="R13" s="12">
        <v>43873</v>
      </c>
      <c r="S13" s="41" t="s">
        <v>6</v>
      </c>
    </row>
    <row r="14" spans="1:19" ht="24.95" customHeight="1" thickBot="1" x14ac:dyDescent="0.35">
      <c r="A14" s="68"/>
      <c r="B14" s="46"/>
      <c r="C14" s="46"/>
      <c r="D14" s="47">
        <f t="shared" si="0"/>
        <v>0</v>
      </c>
      <c r="E14" s="58">
        <f>COUNTIF(Program!E$2:E$32,T(A14))</f>
        <v>0</v>
      </c>
      <c r="F14" s="56"/>
      <c r="R14" s="12">
        <v>43874</v>
      </c>
      <c r="S14" s="41" t="s">
        <v>46</v>
      </c>
    </row>
    <row r="15" spans="1:19" ht="24.95" customHeight="1" thickBot="1" x14ac:dyDescent="0.35">
      <c r="A15" s="67"/>
      <c r="B15" s="48"/>
      <c r="C15" s="48"/>
      <c r="D15" s="49">
        <f t="shared" si="0"/>
        <v>0</v>
      </c>
      <c r="E15" s="61">
        <f>COUNTIF(Program!E$2:E$32,T(A15))</f>
        <v>0</v>
      </c>
      <c r="R15" s="12">
        <v>43875</v>
      </c>
      <c r="S15" s="41" t="s">
        <v>3</v>
      </c>
    </row>
    <row r="16" spans="1:19" ht="24.95" customHeight="1" thickBot="1" x14ac:dyDescent="0.35">
      <c r="A16" s="68"/>
      <c r="B16" s="46"/>
      <c r="C16" s="46"/>
      <c r="D16" s="47">
        <f t="shared" si="0"/>
        <v>0</v>
      </c>
      <c r="E16" s="60">
        <f>COUNTIF(Program!E$2:E$32,T(A16))</f>
        <v>0</v>
      </c>
      <c r="R16" s="12">
        <v>43876</v>
      </c>
      <c r="S16" s="41" t="s">
        <v>4</v>
      </c>
    </row>
    <row r="17" spans="1:19" ht="24.95" customHeight="1" thickBot="1" x14ac:dyDescent="0.35">
      <c r="A17" s="67"/>
      <c r="B17" s="48"/>
      <c r="C17" s="48"/>
      <c r="D17" s="49">
        <f t="shared" si="0"/>
        <v>0</v>
      </c>
      <c r="E17" s="59">
        <f>COUNTIF(Program!E$2:E$32,T(A17))</f>
        <v>0</v>
      </c>
      <c r="F17" s="56"/>
      <c r="R17" s="12">
        <v>43877</v>
      </c>
      <c r="S17" s="41" t="s">
        <v>3</v>
      </c>
    </row>
    <row r="18" spans="1:19" ht="24.95" customHeight="1" thickBot="1" x14ac:dyDescent="0.3">
      <c r="A18" s="66" t="s">
        <v>11</v>
      </c>
      <c r="B18" s="65">
        <f>SUM(B3:B17)</f>
        <v>21</v>
      </c>
      <c r="C18" s="65">
        <f>SUM(C3:C17)</f>
        <v>8</v>
      </c>
      <c r="D18" s="63">
        <f>SUM(D3:D17)</f>
        <v>29</v>
      </c>
      <c r="E18" s="62">
        <f>SUM(E3:E17)</f>
        <v>29</v>
      </c>
      <c r="F18" s="56"/>
      <c r="J18" s="109" t="s">
        <v>42</v>
      </c>
      <c r="K18" s="110"/>
      <c r="L18" s="110" t="s">
        <v>43</v>
      </c>
      <c r="M18" s="113"/>
      <c r="R18" s="12">
        <v>43878</v>
      </c>
      <c r="S18" s="41" t="s">
        <v>44</v>
      </c>
    </row>
    <row r="19" spans="1:19" ht="24.95" customHeight="1" thickTop="1" x14ac:dyDescent="0.25">
      <c r="A19" s="64"/>
      <c r="D19" s="64"/>
      <c r="J19" s="111"/>
      <c r="K19" s="112"/>
      <c r="L19" s="112"/>
      <c r="M19" s="114"/>
      <c r="R19" s="12">
        <v>43879</v>
      </c>
      <c r="S19" s="41" t="s">
        <v>45</v>
      </c>
    </row>
    <row r="20" spans="1:19" ht="24.95" customHeight="1" x14ac:dyDescent="0.25">
      <c r="J20" s="87">
        <f>MATCH(0,Program!$L2:'Program'!$L32,1)</f>
        <v>29</v>
      </c>
      <c r="K20" s="88"/>
      <c r="L20" s="87">
        <f>SUM(COUNTIFS(Program!C$2:'Program'!C$32,{"Cumartesi"},Program!M$2:'Program'!M$32,MONTH(Program!B2)),COUNTIFS(Program!C$2:'Program'!C$32,{"Pazar"},Program!M$2:'Program'!M$32,MONTH(Program!B2)))</f>
        <v>8</v>
      </c>
      <c r="M20" s="88"/>
      <c r="R20" s="12">
        <v>43880</v>
      </c>
      <c r="S20" s="41" t="s">
        <v>8</v>
      </c>
    </row>
    <row r="21" spans="1:19" ht="24.95" customHeight="1" thickBot="1" x14ac:dyDescent="0.3">
      <c r="J21" s="89"/>
      <c r="K21" s="90"/>
      <c r="L21" s="89"/>
      <c r="M21" s="90"/>
      <c r="R21" s="12">
        <v>43881</v>
      </c>
      <c r="S21" s="41" t="s">
        <v>4</v>
      </c>
    </row>
    <row r="22" spans="1:19" ht="24.95" customHeight="1" x14ac:dyDescent="0.25">
      <c r="M22" s="26"/>
      <c r="R22" s="12">
        <v>43882</v>
      </c>
      <c r="S22" s="41" t="s">
        <v>5</v>
      </c>
    </row>
    <row r="23" spans="1:19" ht="24.95" customHeight="1" x14ac:dyDescent="0.25">
      <c r="R23" s="12">
        <v>43883</v>
      </c>
      <c r="S23" s="41" t="s">
        <v>3</v>
      </c>
    </row>
    <row r="24" spans="1:19" ht="24.95" customHeight="1" x14ac:dyDescent="0.25">
      <c r="R24" s="12">
        <v>43884</v>
      </c>
      <c r="S24" s="41" t="s">
        <v>5</v>
      </c>
    </row>
    <row r="25" spans="1:19" ht="24.95" customHeight="1" x14ac:dyDescent="0.25">
      <c r="R25" s="12">
        <v>43885</v>
      </c>
      <c r="S25" s="41" t="s">
        <v>8</v>
      </c>
    </row>
    <row r="26" spans="1:19" ht="24.95" customHeight="1" x14ac:dyDescent="0.25">
      <c r="R26" s="12">
        <v>43886</v>
      </c>
      <c r="S26" s="41" t="s">
        <v>5</v>
      </c>
    </row>
    <row r="27" spans="1:19" ht="24.95" customHeight="1" x14ac:dyDescent="0.25">
      <c r="R27" s="12">
        <v>43887</v>
      </c>
      <c r="S27" s="41" t="s">
        <v>1</v>
      </c>
    </row>
    <row r="28" spans="1:19" ht="24.95" customHeight="1" x14ac:dyDescent="0.25">
      <c r="R28" s="12">
        <v>43888</v>
      </c>
      <c r="S28" s="41" t="s">
        <v>2</v>
      </c>
    </row>
    <row r="29" spans="1:19" ht="24.95" customHeight="1" x14ac:dyDescent="0.25">
      <c r="R29" s="12">
        <v>43889</v>
      </c>
      <c r="S29" s="41" t="s">
        <v>4</v>
      </c>
    </row>
    <row r="30" spans="1:19" ht="24.95" customHeight="1" x14ac:dyDescent="0.25">
      <c r="R30" s="12">
        <v>43890</v>
      </c>
      <c r="S30" s="41" t="s">
        <v>2</v>
      </c>
    </row>
    <row r="31" spans="1:19" ht="24.95" customHeight="1" x14ac:dyDescent="0.25">
      <c r="R31" s="12"/>
      <c r="S31" s="41"/>
    </row>
    <row r="32" spans="1:19" ht="24.95" customHeight="1" thickBot="1" x14ac:dyDescent="0.3">
      <c r="R32" s="15"/>
      <c r="S32" s="42"/>
    </row>
    <row r="33" spans="18:19" x14ac:dyDescent="0.25">
      <c r="R33" s="43"/>
      <c r="S33" s="43"/>
    </row>
    <row r="34" spans="18:19" x14ac:dyDescent="0.25">
      <c r="R34" s="5"/>
      <c r="S34" s="5"/>
    </row>
    <row r="218" spans="1:2" x14ac:dyDescent="0.25">
      <c r="A218">
        <f>I7</f>
        <v>2020</v>
      </c>
      <c r="B218">
        <f>L7</f>
        <v>2</v>
      </c>
    </row>
  </sheetData>
  <sheetProtection selectLockedCells="1"/>
  <mergeCells count="9">
    <mergeCell ref="B1:E1"/>
    <mergeCell ref="J20:K21"/>
    <mergeCell ref="L20:M21"/>
    <mergeCell ref="L7:O9"/>
    <mergeCell ref="I7:K9"/>
    <mergeCell ref="L4:O6"/>
    <mergeCell ref="I4:K6"/>
    <mergeCell ref="J18:K19"/>
    <mergeCell ref="L18:M19"/>
  </mergeCells>
  <conditionalFormatting sqref="B2:E2">
    <cfRule type="expression" dxfId="16" priority="19">
      <formula>"Eğer($AO$28&gt;1;1;0)"</formula>
    </cfRule>
  </conditionalFormatting>
  <conditionalFormatting sqref="R2:R32">
    <cfRule type="containsText" dxfId="15" priority="16" operator="containsText" text="Pazartesi">
      <formula>NOT(ISERROR(SEARCH("Pazartesi",R2)))</formula>
    </cfRule>
    <cfRule type="containsText" dxfId="14" priority="17" operator="containsText" text="Pazar">
      <formula>NOT(ISERROR(SEARCH("Pazar",R2)))</formula>
    </cfRule>
    <cfRule type="containsText" dxfId="13" priority="18" operator="containsText" text="Cumartesi">
      <formula>NOT(ISERROR(SEARCH("Cumartesi",R2)))</formula>
    </cfRule>
  </conditionalFormatting>
  <conditionalFormatting sqref="S2:S32">
    <cfRule type="containsText" dxfId="12" priority="12" operator="containsText" text="Pazartesi">
      <formula>NOT(ISERROR(SEARCH("Pazartesi",S2)))</formula>
    </cfRule>
    <cfRule type="containsText" dxfId="11" priority="13" operator="containsText" text="Pazar">
      <formula>NOT(ISERROR(SEARCH("Pazar",S2)))</formula>
    </cfRule>
    <cfRule type="containsText" dxfId="10" priority="14" operator="containsText" text="Cumartesi">
      <formula>NOT(ISERROR(SEARCH("Cumartesi",S2)))</formula>
    </cfRule>
  </conditionalFormatting>
  <conditionalFormatting sqref="C18">
    <cfRule type="cellIs" dxfId="9" priority="10" operator="notEqual">
      <formula>$L$20</formula>
    </cfRule>
  </conditionalFormatting>
  <conditionalFormatting sqref="D18:E18">
    <cfRule type="cellIs" dxfId="8" priority="9" operator="notEqual">
      <formula>$J$20</formula>
    </cfRule>
  </conditionalFormatting>
  <conditionalFormatting sqref="B18">
    <cfRule type="expression" dxfId="7" priority="8">
      <formula>IF(D18&lt;&gt;J20,TRUE,FALSE)</formula>
    </cfRule>
  </conditionalFormatting>
  <conditionalFormatting sqref="E3:E4">
    <cfRule type="cellIs" dxfId="6" priority="6" operator="notEqual">
      <formula>$D3</formula>
    </cfRule>
  </conditionalFormatting>
  <conditionalFormatting sqref="J20">
    <cfRule type="cellIs" dxfId="5" priority="4" operator="notEqual">
      <formula>$D$18</formula>
    </cfRule>
  </conditionalFormatting>
  <conditionalFormatting sqref="L20">
    <cfRule type="cellIs" dxfId="4" priority="3" operator="notEqual">
      <formula>$C$18</formula>
    </cfRule>
  </conditionalFormatting>
  <conditionalFormatting sqref="E5:E16">
    <cfRule type="cellIs" dxfId="3" priority="2" operator="notEqual">
      <formula>$D5</formula>
    </cfRule>
  </conditionalFormatting>
  <conditionalFormatting sqref="E17">
    <cfRule type="cellIs" dxfId="2" priority="1" operator="notEqual">
      <formula>$D17</formula>
    </cfRule>
  </conditionalFormatting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" id="{6F4464F5-C65B-4FFB-8702-CA51168B47FE}">
            <xm:f>OR(Program!C2="Cumartesi",Program!C2="Pazar")</xm:f>
            <x14:dxf>
              <fill>
                <patternFill>
                  <bgColor rgb="FFFFFF00"/>
                </patternFill>
              </fill>
            </x14:dxf>
          </x14:cfRule>
          <xm:sqref>R2:R32</xm:sqref>
        </x14:conditionalFormatting>
        <x14:conditionalFormatting xmlns:xm="http://schemas.microsoft.com/office/excel/2006/main">
          <x14:cfRule type="expression" priority="11" id="{39F050EA-AA6A-4B54-82BD-C204E885D842}">
            <xm:f>OR(Program!C2="Cumartesi",Program!C2="Pazar")</xm:f>
            <x14:dxf>
              <fill>
                <patternFill>
                  <bgColor rgb="FFFFFF00"/>
                </patternFill>
              </fill>
            </x14:dxf>
          </x14:cfRule>
          <xm:sqref>S2:S32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Program</vt:lpstr>
      <vt:lpstr>Mazeret</vt:lpstr>
      <vt:lpstr>Liste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2006-09-26T09:04:32Z</dcterms:created>
  <dcterms:modified xsi:type="dcterms:W3CDTF">2021-05-30T07:21:58Z</dcterms:modified>
</cp:coreProperties>
</file>